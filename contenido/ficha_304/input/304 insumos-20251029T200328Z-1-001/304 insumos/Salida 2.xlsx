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i unidad\Bio 2024\Fichas Bio Caribe\1 Comentadas NN\304 Jaguares cerrejon\304 ajustes jun 16\"/>
    </mc:Choice>
  </mc:AlternateContent>
  <xr:revisionPtr revIDLastSave="0" documentId="13_ncr:1_{2EEC2CDB-5358-4A41-95EA-A381214AACEA}" xr6:coauthVersionLast="47" xr6:coauthVersionMax="47" xr10:uidLastSave="{00000000-0000-0000-0000-000000000000}"/>
  <bookViews>
    <workbookView xWindow="-120" yWindow="-120" windowWidth="38640" windowHeight="21120" xr2:uid="{3B7449BC-CB2A-4201-831B-0A6D6568064E}"/>
  </bookViews>
  <sheets>
    <sheet name="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C21" i="1"/>
</calcChain>
</file>

<file path=xl/sharedStrings.xml><?xml version="1.0" encoding="utf-8"?>
<sst xmlns="http://schemas.openxmlformats.org/spreadsheetml/2006/main" count="40" uniqueCount="40">
  <si>
    <t>Bosque de galería y ripario</t>
  </si>
  <si>
    <t>Pastos enmalezados</t>
  </si>
  <si>
    <t>Pastos limpios</t>
  </si>
  <si>
    <t>Tierras desnudas y degradadas</t>
  </si>
  <si>
    <t>Vegetación secundaria baja</t>
  </si>
  <si>
    <t>%</t>
  </si>
  <si>
    <t>Bgr</t>
  </si>
  <si>
    <t>Ara</t>
  </si>
  <si>
    <t>Ba</t>
  </si>
  <si>
    <t>Bd</t>
  </si>
  <si>
    <t>Caa</t>
  </si>
  <si>
    <t xml:space="preserve">Cuerpo de aguas artificiales </t>
  </si>
  <si>
    <t>LI</t>
  </si>
  <si>
    <t>Lagunas, lagos y ciénagas naturales</t>
  </si>
  <si>
    <t xml:space="preserve">Mcpe </t>
  </si>
  <si>
    <t>Mosaico de cultivos, pastos y espacios naturales</t>
  </si>
  <si>
    <t xml:space="preserve">Oct </t>
  </si>
  <si>
    <t>Cultivos transitorios</t>
  </si>
  <si>
    <t>Pa</t>
  </si>
  <si>
    <t xml:space="preserve">Pastos arbolados </t>
  </si>
  <si>
    <t>Pe</t>
  </si>
  <si>
    <t>PI</t>
  </si>
  <si>
    <t>R</t>
  </si>
  <si>
    <t>Rv</t>
  </si>
  <si>
    <t>Red vial y territorios asociados</t>
  </si>
  <si>
    <t>Tdd</t>
  </si>
  <si>
    <t>Tud</t>
  </si>
  <si>
    <t>Vsa</t>
  </si>
  <si>
    <t>Vegetación secundaria o en transición</t>
  </si>
  <si>
    <t>Vsb</t>
  </si>
  <si>
    <t>Zic</t>
  </si>
  <si>
    <t>Zonas industriales o comerciales</t>
  </si>
  <si>
    <t xml:space="preserve">Total </t>
  </si>
  <si>
    <t>Tipo de cobertura</t>
  </si>
  <si>
    <t>Área (ha)</t>
  </si>
  <si>
    <t>Territorios artificializados</t>
  </si>
  <si>
    <t>Bosque denso</t>
  </si>
  <si>
    <t>Bosque abierto</t>
  </si>
  <si>
    <t xml:space="preserve">Arbustal abierto </t>
  </si>
  <si>
    <t>Ríos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</si>
</sst>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0.000000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166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10" fontId="2" fillId="0" borderId="0" xfId="1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9" fontId="3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10" fontId="4" fillId="0" borderId="0" xfId="1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2" fillId="0" borderId="0" xfId="0" applyFont="1" applyFill="1"/>
    <xf numFmtId="0" fontId="4" fillId="0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F616C-B558-40AC-AD8F-CFAE64C6F6FB}">
  <dimension ref="A1:E21"/>
  <sheetViews>
    <sheetView tabSelected="1" zoomScale="145" zoomScaleNormal="145" workbookViewId="0">
      <selection activeCell="H16" sqref="H16"/>
    </sheetView>
  </sheetViews>
  <sheetFormatPr defaultRowHeight="15" x14ac:dyDescent="0.25"/>
  <cols>
    <col min="1" max="1" width="8" style="1" customWidth="1"/>
    <col min="2" max="2" width="43.140625" bestFit="1" customWidth="1"/>
    <col min="3" max="3" width="10.42578125" style="1" customWidth="1"/>
    <col min="4" max="4" width="14.5703125" customWidth="1"/>
    <col min="5" max="5" width="16.42578125" bestFit="1" customWidth="1"/>
    <col min="257" max="257" width="5.85546875" bestFit="1" customWidth="1"/>
    <col min="258" max="258" width="40.85546875" bestFit="1" customWidth="1"/>
    <col min="260" max="260" width="9.28515625" bestFit="1" customWidth="1"/>
    <col min="513" max="513" width="5.85546875" bestFit="1" customWidth="1"/>
    <col min="514" max="514" width="40.85546875" bestFit="1" customWidth="1"/>
    <col min="516" max="516" width="9.28515625" bestFit="1" customWidth="1"/>
    <col min="769" max="769" width="5.85546875" bestFit="1" customWidth="1"/>
    <col min="770" max="770" width="40.85546875" bestFit="1" customWidth="1"/>
    <col min="772" max="772" width="9.28515625" bestFit="1" customWidth="1"/>
    <col min="1025" max="1025" width="5.85546875" bestFit="1" customWidth="1"/>
    <col min="1026" max="1026" width="40.85546875" bestFit="1" customWidth="1"/>
    <col min="1028" max="1028" width="9.28515625" bestFit="1" customWidth="1"/>
    <col min="1281" max="1281" width="5.85546875" bestFit="1" customWidth="1"/>
    <col min="1282" max="1282" width="40.85546875" bestFit="1" customWidth="1"/>
    <col min="1284" max="1284" width="9.28515625" bestFit="1" customWidth="1"/>
    <col min="1537" max="1537" width="5.85546875" bestFit="1" customWidth="1"/>
    <col min="1538" max="1538" width="40.85546875" bestFit="1" customWidth="1"/>
    <col min="1540" max="1540" width="9.28515625" bestFit="1" customWidth="1"/>
    <col min="1793" max="1793" width="5.85546875" bestFit="1" customWidth="1"/>
    <col min="1794" max="1794" width="40.85546875" bestFit="1" customWidth="1"/>
    <col min="1796" max="1796" width="9.28515625" bestFit="1" customWidth="1"/>
    <col min="2049" max="2049" width="5.85546875" bestFit="1" customWidth="1"/>
    <col min="2050" max="2050" width="40.85546875" bestFit="1" customWidth="1"/>
    <col min="2052" max="2052" width="9.28515625" bestFit="1" customWidth="1"/>
    <col min="2305" max="2305" width="5.85546875" bestFit="1" customWidth="1"/>
    <col min="2306" max="2306" width="40.85546875" bestFit="1" customWidth="1"/>
    <col min="2308" max="2308" width="9.28515625" bestFit="1" customWidth="1"/>
    <col min="2561" max="2561" width="5.85546875" bestFit="1" customWidth="1"/>
    <col min="2562" max="2562" width="40.85546875" bestFit="1" customWidth="1"/>
    <col min="2564" max="2564" width="9.28515625" bestFit="1" customWidth="1"/>
    <col min="2817" max="2817" width="5.85546875" bestFit="1" customWidth="1"/>
    <col min="2818" max="2818" width="40.85546875" bestFit="1" customWidth="1"/>
    <col min="2820" max="2820" width="9.28515625" bestFit="1" customWidth="1"/>
    <col min="3073" max="3073" width="5.85546875" bestFit="1" customWidth="1"/>
    <col min="3074" max="3074" width="40.85546875" bestFit="1" customWidth="1"/>
    <col min="3076" max="3076" width="9.28515625" bestFit="1" customWidth="1"/>
    <col min="3329" max="3329" width="5.85546875" bestFit="1" customWidth="1"/>
    <col min="3330" max="3330" width="40.85546875" bestFit="1" customWidth="1"/>
    <col min="3332" max="3332" width="9.28515625" bestFit="1" customWidth="1"/>
    <col min="3585" max="3585" width="5.85546875" bestFit="1" customWidth="1"/>
    <col min="3586" max="3586" width="40.85546875" bestFit="1" customWidth="1"/>
    <col min="3588" max="3588" width="9.28515625" bestFit="1" customWidth="1"/>
    <col min="3841" max="3841" width="5.85546875" bestFit="1" customWidth="1"/>
    <col min="3842" max="3842" width="40.85546875" bestFit="1" customWidth="1"/>
    <col min="3844" max="3844" width="9.28515625" bestFit="1" customWidth="1"/>
    <col min="4097" max="4097" width="5.85546875" bestFit="1" customWidth="1"/>
    <col min="4098" max="4098" width="40.85546875" bestFit="1" customWidth="1"/>
    <col min="4100" max="4100" width="9.28515625" bestFit="1" customWidth="1"/>
    <col min="4353" max="4353" width="5.85546875" bestFit="1" customWidth="1"/>
    <col min="4354" max="4354" width="40.85546875" bestFit="1" customWidth="1"/>
    <col min="4356" max="4356" width="9.28515625" bestFit="1" customWidth="1"/>
    <col min="4609" max="4609" width="5.85546875" bestFit="1" customWidth="1"/>
    <col min="4610" max="4610" width="40.85546875" bestFit="1" customWidth="1"/>
    <col min="4612" max="4612" width="9.28515625" bestFit="1" customWidth="1"/>
    <col min="4865" max="4865" width="5.85546875" bestFit="1" customWidth="1"/>
    <col min="4866" max="4866" width="40.85546875" bestFit="1" customWidth="1"/>
    <col min="4868" max="4868" width="9.28515625" bestFit="1" customWidth="1"/>
    <col min="5121" max="5121" width="5.85546875" bestFit="1" customWidth="1"/>
    <col min="5122" max="5122" width="40.85546875" bestFit="1" customWidth="1"/>
    <col min="5124" max="5124" width="9.28515625" bestFit="1" customWidth="1"/>
    <col min="5377" max="5377" width="5.85546875" bestFit="1" customWidth="1"/>
    <col min="5378" max="5378" width="40.85546875" bestFit="1" customWidth="1"/>
    <col min="5380" max="5380" width="9.28515625" bestFit="1" customWidth="1"/>
    <col min="5633" max="5633" width="5.85546875" bestFit="1" customWidth="1"/>
    <col min="5634" max="5634" width="40.85546875" bestFit="1" customWidth="1"/>
    <col min="5636" max="5636" width="9.28515625" bestFit="1" customWidth="1"/>
    <col min="5889" max="5889" width="5.85546875" bestFit="1" customWidth="1"/>
    <col min="5890" max="5890" width="40.85546875" bestFit="1" customWidth="1"/>
    <col min="5892" max="5892" width="9.28515625" bestFit="1" customWidth="1"/>
    <col min="6145" max="6145" width="5.85546875" bestFit="1" customWidth="1"/>
    <col min="6146" max="6146" width="40.85546875" bestFit="1" customWidth="1"/>
    <col min="6148" max="6148" width="9.28515625" bestFit="1" customWidth="1"/>
    <col min="6401" max="6401" width="5.85546875" bestFit="1" customWidth="1"/>
    <col min="6402" max="6402" width="40.85546875" bestFit="1" customWidth="1"/>
    <col min="6404" max="6404" width="9.28515625" bestFit="1" customWidth="1"/>
    <col min="6657" max="6657" width="5.85546875" bestFit="1" customWidth="1"/>
    <col min="6658" max="6658" width="40.85546875" bestFit="1" customWidth="1"/>
    <col min="6660" max="6660" width="9.28515625" bestFit="1" customWidth="1"/>
    <col min="6913" max="6913" width="5.85546875" bestFit="1" customWidth="1"/>
    <col min="6914" max="6914" width="40.85546875" bestFit="1" customWidth="1"/>
    <col min="6916" max="6916" width="9.28515625" bestFit="1" customWidth="1"/>
    <col min="7169" max="7169" width="5.85546875" bestFit="1" customWidth="1"/>
    <col min="7170" max="7170" width="40.85546875" bestFit="1" customWidth="1"/>
    <col min="7172" max="7172" width="9.28515625" bestFit="1" customWidth="1"/>
    <col min="7425" max="7425" width="5.85546875" bestFit="1" customWidth="1"/>
    <col min="7426" max="7426" width="40.85546875" bestFit="1" customWidth="1"/>
    <col min="7428" max="7428" width="9.28515625" bestFit="1" customWidth="1"/>
    <col min="7681" max="7681" width="5.85546875" bestFit="1" customWidth="1"/>
    <col min="7682" max="7682" width="40.85546875" bestFit="1" customWidth="1"/>
    <col min="7684" max="7684" width="9.28515625" bestFit="1" customWidth="1"/>
    <col min="7937" max="7937" width="5.85546875" bestFit="1" customWidth="1"/>
    <col min="7938" max="7938" width="40.85546875" bestFit="1" customWidth="1"/>
    <col min="7940" max="7940" width="9.28515625" bestFit="1" customWidth="1"/>
    <col min="8193" max="8193" width="5.85546875" bestFit="1" customWidth="1"/>
    <col min="8194" max="8194" width="40.85546875" bestFit="1" customWidth="1"/>
    <col min="8196" max="8196" width="9.28515625" bestFit="1" customWidth="1"/>
    <col min="8449" max="8449" width="5.85546875" bestFit="1" customWidth="1"/>
    <col min="8450" max="8450" width="40.85546875" bestFit="1" customWidth="1"/>
    <col min="8452" max="8452" width="9.28515625" bestFit="1" customWidth="1"/>
    <col min="8705" max="8705" width="5.85546875" bestFit="1" customWidth="1"/>
    <col min="8706" max="8706" width="40.85546875" bestFit="1" customWidth="1"/>
    <col min="8708" max="8708" width="9.28515625" bestFit="1" customWidth="1"/>
    <col min="8961" max="8961" width="5.85546875" bestFit="1" customWidth="1"/>
    <col min="8962" max="8962" width="40.85546875" bestFit="1" customWidth="1"/>
    <col min="8964" max="8964" width="9.28515625" bestFit="1" customWidth="1"/>
    <col min="9217" max="9217" width="5.85546875" bestFit="1" customWidth="1"/>
    <col min="9218" max="9218" width="40.85546875" bestFit="1" customWidth="1"/>
    <col min="9220" max="9220" width="9.28515625" bestFit="1" customWidth="1"/>
    <col min="9473" max="9473" width="5.85546875" bestFit="1" customWidth="1"/>
    <col min="9474" max="9474" width="40.85546875" bestFit="1" customWidth="1"/>
    <col min="9476" max="9476" width="9.28515625" bestFit="1" customWidth="1"/>
    <col min="9729" max="9729" width="5.85546875" bestFit="1" customWidth="1"/>
    <col min="9730" max="9730" width="40.85546875" bestFit="1" customWidth="1"/>
    <col min="9732" max="9732" width="9.28515625" bestFit="1" customWidth="1"/>
    <col min="9985" max="9985" width="5.85546875" bestFit="1" customWidth="1"/>
    <col min="9986" max="9986" width="40.85546875" bestFit="1" customWidth="1"/>
    <col min="9988" max="9988" width="9.28515625" bestFit="1" customWidth="1"/>
    <col min="10241" max="10241" width="5.85546875" bestFit="1" customWidth="1"/>
    <col min="10242" max="10242" width="40.85546875" bestFit="1" customWidth="1"/>
    <col min="10244" max="10244" width="9.28515625" bestFit="1" customWidth="1"/>
    <col min="10497" max="10497" width="5.85546875" bestFit="1" customWidth="1"/>
    <col min="10498" max="10498" width="40.85546875" bestFit="1" customWidth="1"/>
    <col min="10500" max="10500" width="9.28515625" bestFit="1" customWidth="1"/>
    <col min="10753" max="10753" width="5.85546875" bestFit="1" customWidth="1"/>
    <col min="10754" max="10754" width="40.85546875" bestFit="1" customWidth="1"/>
    <col min="10756" max="10756" width="9.28515625" bestFit="1" customWidth="1"/>
    <col min="11009" max="11009" width="5.85546875" bestFit="1" customWidth="1"/>
    <col min="11010" max="11010" width="40.85546875" bestFit="1" customWidth="1"/>
    <col min="11012" max="11012" width="9.28515625" bestFit="1" customWidth="1"/>
    <col min="11265" max="11265" width="5.85546875" bestFit="1" customWidth="1"/>
    <col min="11266" max="11266" width="40.85546875" bestFit="1" customWidth="1"/>
    <col min="11268" max="11268" width="9.28515625" bestFit="1" customWidth="1"/>
    <col min="11521" max="11521" width="5.85546875" bestFit="1" customWidth="1"/>
    <col min="11522" max="11522" width="40.85546875" bestFit="1" customWidth="1"/>
    <col min="11524" max="11524" width="9.28515625" bestFit="1" customWidth="1"/>
    <col min="11777" max="11777" width="5.85546875" bestFit="1" customWidth="1"/>
    <col min="11778" max="11778" width="40.85546875" bestFit="1" customWidth="1"/>
    <col min="11780" max="11780" width="9.28515625" bestFit="1" customWidth="1"/>
    <col min="12033" max="12033" width="5.85546875" bestFit="1" customWidth="1"/>
    <col min="12034" max="12034" width="40.85546875" bestFit="1" customWidth="1"/>
    <col min="12036" max="12036" width="9.28515625" bestFit="1" customWidth="1"/>
    <col min="12289" max="12289" width="5.85546875" bestFit="1" customWidth="1"/>
    <col min="12290" max="12290" width="40.85546875" bestFit="1" customWidth="1"/>
    <col min="12292" max="12292" width="9.28515625" bestFit="1" customWidth="1"/>
    <col min="12545" max="12545" width="5.85546875" bestFit="1" customWidth="1"/>
    <col min="12546" max="12546" width="40.85546875" bestFit="1" customWidth="1"/>
    <col min="12548" max="12548" width="9.28515625" bestFit="1" customWidth="1"/>
    <col min="12801" max="12801" width="5.85546875" bestFit="1" customWidth="1"/>
    <col min="12802" max="12802" width="40.85546875" bestFit="1" customWidth="1"/>
    <col min="12804" max="12804" width="9.28515625" bestFit="1" customWidth="1"/>
    <col min="13057" max="13057" width="5.85546875" bestFit="1" customWidth="1"/>
    <col min="13058" max="13058" width="40.85546875" bestFit="1" customWidth="1"/>
    <col min="13060" max="13060" width="9.28515625" bestFit="1" customWidth="1"/>
    <col min="13313" max="13313" width="5.85546875" bestFit="1" customWidth="1"/>
    <col min="13314" max="13314" width="40.85546875" bestFit="1" customWidth="1"/>
    <col min="13316" max="13316" width="9.28515625" bestFit="1" customWidth="1"/>
    <col min="13569" max="13569" width="5.85546875" bestFit="1" customWidth="1"/>
    <col min="13570" max="13570" width="40.85546875" bestFit="1" customWidth="1"/>
    <col min="13572" max="13572" width="9.28515625" bestFit="1" customWidth="1"/>
    <col min="13825" max="13825" width="5.85546875" bestFit="1" customWidth="1"/>
    <col min="13826" max="13826" width="40.85546875" bestFit="1" customWidth="1"/>
    <col min="13828" max="13828" width="9.28515625" bestFit="1" customWidth="1"/>
    <col min="14081" max="14081" width="5.85546875" bestFit="1" customWidth="1"/>
    <col min="14082" max="14082" width="40.85546875" bestFit="1" customWidth="1"/>
    <col min="14084" max="14084" width="9.28515625" bestFit="1" customWidth="1"/>
    <col min="14337" max="14337" width="5.85546875" bestFit="1" customWidth="1"/>
    <col min="14338" max="14338" width="40.85546875" bestFit="1" customWidth="1"/>
    <col min="14340" max="14340" width="9.28515625" bestFit="1" customWidth="1"/>
    <col min="14593" max="14593" width="5.85546875" bestFit="1" customWidth="1"/>
    <col min="14594" max="14594" width="40.85546875" bestFit="1" customWidth="1"/>
    <col min="14596" max="14596" width="9.28515625" bestFit="1" customWidth="1"/>
    <col min="14849" max="14849" width="5.85546875" bestFit="1" customWidth="1"/>
    <col min="14850" max="14850" width="40.85546875" bestFit="1" customWidth="1"/>
    <col min="14852" max="14852" width="9.28515625" bestFit="1" customWidth="1"/>
    <col min="15105" max="15105" width="5.85546875" bestFit="1" customWidth="1"/>
    <col min="15106" max="15106" width="40.85546875" bestFit="1" customWidth="1"/>
    <col min="15108" max="15108" width="9.28515625" bestFit="1" customWidth="1"/>
    <col min="15361" max="15361" width="5.85546875" bestFit="1" customWidth="1"/>
    <col min="15362" max="15362" width="40.85546875" bestFit="1" customWidth="1"/>
    <col min="15364" max="15364" width="9.28515625" bestFit="1" customWidth="1"/>
    <col min="15617" max="15617" width="5.85546875" bestFit="1" customWidth="1"/>
    <col min="15618" max="15618" width="40.85546875" bestFit="1" customWidth="1"/>
    <col min="15620" max="15620" width="9.28515625" bestFit="1" customWidth="1"/>
    <col min="15873" max="15873" width="5.85546875" bestFit="1" customWidth="1"/>
    <col min="15874" max="15874" width="40.85546875" bestFit="1" customWidth="1"/>
    <col min="15876" max="15876" width="9.28515625" bestFit="1" customWidth="1"/>
    <col min="16129" max="16129" width="5.85546875" bestFit="1" customWidth="1"/>
    <col min="16130" max="16130" width="40.85546875" bestFit="1" customWidth="1"/>
    <col min="16132" max="16132" width="9.28515625" bestFit="1" customWidth="1"/>
  </cols>
  <sheetData>
    <row r="1" spans="1:5" x14ac:dyDescent="0.25">
      <c r="A1" s="8" t="s">
        <v>33</v>
      </c>
      <c r="B1" s="8"/>
      <c r="C1" s="9" t="s">
        <v>34</v>
      </c>
      <c r="D1" s="10" t="s">
        <v>5</v>
      </c>
    </row>
    <row r="2" spans="1:5" x14ac:dyDescent="0.25">
      <c r="A2" s="8"/>
      <c r="B2" s="8"/>
      <c r="C2" s="9"/>
      <c r="D2" s="10"/>
    </row>
    <row r="3" spans="1:5" x14ac:dyDescent="0.25">
      <c r="A3" s="11" t="s">
        <v>6</v>
      </c>
      <c r="B3" s="3" t="s">
        <v>0</v>
      </c>
      <c r="C3" s="4">
        <v>2491.8000000000002</v>
      </c>
      <c r="D3" s="5">
        <f>(+C3*100/C21)/100</f>
        <v>0.11235708865715814</v>
      </c>
      <c r="E3" s="2"/>
    </row>
    <row r="4" spans="1:5" x14ac:dyDescent="0.25">
      <c r="A4" s="4" t="s">
        <v>7</v>
      </c>
      <c r="B4" s="3" t="s">
        <v>38</v>
      </c>
      <c r="C4" s="4">
        <v>241.3</v>
      </c>
      <c r="D4" s="5">
        <f>(+C4*100/C21)/100</f>
        <v>1.0880393889145299E-2</v>
      </c>
    </row>
    <row r="5" spans="1:5" x14ac:dyDescent="0.25">
      <c r="A5" s="4" t="s">
        <v>8</v>
      </c>
      <c r="B5" s="17" t="s">
        <v>37</v>
      </c>
      <c r="C5" s="6">
        <v>7065.6865723879619</v>
      </c>
      <c r="D5" s="5">
        <f>+C5*100/C21/100</f>
        <v>0.31859698717292156</v>
      </c>
    </row>
    <row r="6" spans="1:5" x14ac:dyDescent="0.25">
      <c r="A6" s="4" t="s">
        <v>9</v>
      </c>
      <c r="B6" s="17" t="s">
        <v>36</v>
      </c>
      <c r="C6" s="6">
        <v>1426.310717334612</v>
      </c>
      <c r="D6" s="5">
        <f>(+C6*100/C21)/100</f>
        <v>6.4313395826398501E-2</v>
      </c>
    </row>
    <row r="7" spans="1:5" x14ac:dyDescent="0.25">
      <c r="A7" s="4" t="s">
        <v>10</v>
      </c>
      <c r="B7" s="17" t="s">
        <v>11</v>
      </c>
      <c r="C7" s="6">
        <v>14.568355663998666</v>
      </c>
      <c r="D7" s="12">
        <f>+C7*100/C21/100</f>
        <v>6.5689783647520262E-4</v>
      </c>
    </row>
    <row r="8" spans="1:5" x14ac:dyDescent="0.25">
      <c r="A8" s="4" t="s">
        <v>12</v>
      </c>
      <c r="B8" s="17" t="s">
        <v>13</v>
      </c>
      <c r="C8" s="6">
        <v>26.606185560208548</v>
      </c>
      <c r="D8" s="5">
        <f>+C8*100/C21/100</f>
        <v>1.1996924110350556E-3</v>
      </c>
    </row>
    <row r="9" spans="1:5" x14ac:dyDescent="0.25">
      <c r="A9" s="11" t="s">
        <v>14</v>
      </c>
      <c r="B9" s="17" t="s">
        <v>15</v>
      </c>
      <c r="C9" s="13">
        <v>15.244670159063945</v>
      </c>
      <c r="D9" s="5">
        <f>+C9*100/C21/100</f>
        <v>6.8739335284175322E-4</v>
      </c>
    </row>
    <row r="10" spans="1:5" x14ac:dyDescent="0.25">
      <c r="A10" s="11" t="s">
        <v>16</v>
      </c>
      <c r="B10" s="17" t="s">
        <v>17</v>
      </c>
      <c r="C10" s="6">
        <v>10.929230294886356</v>
      </c>
      <c r="D10" s="5">
        <f>+C10*100/C21/100</f>
        <v>4.9280700585803221E-4</v>
      </c>
    </row>
    <row r="11" spans="1:5" x14ac:dyDescent="0.25">
      <c r="A11" s="11" t="s">
        <v>18</v>
      </c>
      <c r="B11" s="18" t="s">
        <v>19</v>
      </c>
      <c r="C11" s="6">
        <v>439.99276818276826</v>
      </c>
      <c r="D11" s="5">
        <f>+C11*100/C21/100</f>
        <v>1.9839596461682204E-2</v>
      </c>
    </row>
    <row r="12" spans="1:5" x14ac:dyDescent="0.25">
      <c r="A12" s="11" t="s">
        <v>20</v>
      </c>
      <c r="B12" s="17" t="s">
        <v>1</v>
      </c>
      <c r="C12" s="6">
        <v>733.84596941526968</v>
      </c>
      <c r="D12" s="5">
        <f>+C12*100/C21/100</f>
        <v>3.3089652719435592E-2</v>
      </c>
    </row>
    <row r="13" spans="1:5" x14ac:dyDescent="0.25">
      <c r="A13" s="11" t="s">
        <v>21</v>
      </c>
      <c r="B13" s="17" t="s">
        <v>2</v>
      </c>
      <c r="C13" s="6">
        <v>682.30551597428303</v>
      </c>
      <c r="D13" s="5">
        <f>+C13*100/C21/100</f>
        <v>3.0765655891159219E-2</v>
      </c>
    </row>
    <row r="14" spans="1:5" x14ac:dyDescent="0.25">
      <c r="A14" s="11" t="s">
        <v>22</v>
      </c>
      <c r="B14" s="18" t="s">
        <v>39</v>
      </c>
      <c r="C14" s="6">
        <v>77.865812899871727</v>
      </c>
      <c r="D14" s="5">
        <f>+C14*100/C21/100</f>
        <v>3.5110265845383153E-3</v>
      </c>
    </row>
    <row r="15" spans="1:5" x14ac:dyDescent="0.25">
      <c r="A15" s="11" t="s">
        <v>23</v>
      </c>
      <c r="B15" s="17" t="s">
        <v>24</v>
      </c>
      <c r="C15" s="6">
        <v>78.528526716517291</v>
      </c>
      <c r="D15" s="5">
        <f>+C15*100/C21/100</f>
        <v>3.5409088363447076E-3</v>
      </c>
    </row>
    <row r="16" spans="1:5" x14ac:dyDescent="0.25">
      <c r="A16" s="11" t="s">
        <v>25</v>
      </c>
      <c r="B16" s="3" t="s">
        <v>3</v>
      </c>
      <c r="C16" s="6">
        <v>7.5482214073690672</v>
      </c>
      <c r="D16" s="5">
        <f>+C16*100/C21/100</f>
        <v>3.4035483661273987E-4</v>
      </c>
    </row>
    <row r="17" spans="1:4" x14ac:dyDescent="0.25">
      <c r="A17" s="11" t="s">
        <v>26</v>
      </c>
      <c r="B17" s="3" t="s">
        <v>35</v>
      </c>
      <c r="C17" s="6">
        <v>59.970585821145676</v>
      </c>
      <c r="D17" s="5">
        <f>+C17*100/C21/100</f>
        <v>2.7041176771523297E-3</v>
      </c>
    </row>
    <row r="18" spans="1:4" x14ac:dyDescent="0.25">
      <c r="A18" s="11" t="s">
        <v>27</v>
      </c>
      <c r="B18" s="3" t="s">
        <v>28</v>
      </c>
      <c r="C18" s="7">
        <v>6617.5200956172548</v>
      </c>
      <c r="D18" s="5">
        <f>+C18*100/C21/100</f>
        <v>0.29838883219913048</v>
      </c>
    </row>
    <row r="19" spans="1:4" x14ac:dyDescent="0.25">
      <c r="A19" s="11" t="s">
        <v>29</v>
      </c>
      <c r="B19" s="3" t="s">
        <v>4</v>
      </c>
      <c r="C19" s="6">
        <v>2184.0389555914662</v>
      </c>
      <c r="D19" s="5">
        <f>+C19*100/C21/100</f>
        <v>9.8479917555212057E-2</v>
      </c>
    </row>
    <row r="20" spans="1:4" x14ac:dyDescent="0.25">
      <c r="A20" s="11" t="s">
        <v>30</v>
      </c>
      <c r="B20" s="3" t="s">
        <v>31</v>
      </c>
      <c r="C20" s="14">
        <v>3.4437472255516899</v>
      </c>
      <c r="D20" s="5">
        <f>+C20*100/C21/100</f>
        <v>1.5528108689868912E-4</v>
      </c>
    </row>
    <row r="21" spans="1:4" x14ac:dyDescent="0.25">
      <c r="A21" s="9" t="s">
        <v>32</v>
      </c>
      <c r="B21" s="9"/>
      <c r="C21" s="15">
        <f>SUM(C3:C20)</f>
        <v>22177.505930252231</v>
      </c>
      <c r="D21" s="16"/>
    </row>
  </sheetData>
  <mergeCells count="4">
    <mergeCell ref="A21:B21"/>
    <mergeCell ref="A1:B2"/>
    <mergeCell ref="C1:C2"/>
    <mergeCell ref="D1:D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Cuevas, Diana Del Pilar (Cerrejon - CO)</dc:creator>
  <cp:lastModifiedBy>Editor_Humboldt</cp:lastModifiedBy>
  <dcterms:created xsi:type="dcterms:W3CDTF">2025-06-12T20:02:04Z</dcterms:created>
  <dcterms:modified xsi:type="dcterms:W3CDTF">2025-06-16T14:34:49Z</dcterms:modified>
</cp:coreProperties>
</file>