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i unidad\Bio 2024\Fichas Bio Caribe\1 Comentadas NN\303 Usos de fauna silvestre\Final\303 insumos\"/>
    </mc:Choice>
  </mc:AlternateContent>
  <xr:revisionPtr revIDLastSave="0" documentId="13_ncr:1_{0CE0F112-C926-4A25-94F3-43D3D7E8DBBE}" xr6:coauthVersionLast="47" xr6:coauthVersionMax="47" xr10:uidLastSave="{00000000-0000-0000-0000-000000000000}"/>
  <bookViews>
    <workbookView xWindow="-120" yWindow="-120" windowWidth="38640" windowHeight="21120" firstSheet="3" activeTab="3" xr2:uid="{C61B57C0-FFAA-4DC2-ACE5-4BD1CF005173}"/>
  </bookViews>
  <sheets>
    <sheet name="General " sheetId="1" r:id="rId1"/>
    <sheet name="Referencias geográficas" sheetId="6" r:id="rId2"/>
    <sheet name="Usos por grupos taxonomicos" sheetId="4" r:id="rId3"/>
    <sheet name="Salida 1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5" l="1"/>
  <c r="N3" i="5"/>
  <c r="N2" i="5"/>
  <c r="M4" i="5"/>
  <c r="M3" i="5"/>
  <c r="M2" i="5"/>
  <c r="L4" i="5"/>
  <c r="L3" i="5"/>
  <c r="L2" i="5"/>
  <c r="K4" i="5"/>
  <c r="K3" i="5"/>
  <c r="K2" i="5"/>
  <c r="J4" i="5"/>
  <c r="J3" i="5"/>
  <c r="J2" i="5"/>
  <c r="N5" i="5"/>
  <c r="M5" i="5"/>
  <c r="L5" i="5"/>
  <c r="K5" i="5"/>
  <c r="J5" i="5"/>
  <c r="F5" i="5"/>
  <c r="E5" i="5"/>
  <c r="D5" i="5"/>
  <c r="C5" i="5"/>
  <c r="B5" i="5"/>
  <c r="AF34" i="4"/>
  <c r="AE34" i="4"/>
  <c r="AD34" i="4"/>
  <c r="AC34" i="4"/>
  <c r="AB34" i="4"/>
  <c r="AA34" i="4"/>
  <c r="AC33" i="4"/>
  <c r="AB33" i="4"/>
  <c r="AA33" i="4"/>
  <c r="AF33" i="4" s="1"/>
  <c r="AC32" i="4"/>
  <c r="AB32" i="4"/>
  <c r="AA32" i="4"/>
  <c r="AF32" i="4" s="1"/>
  <c r="AC31" i="4"/>
  <c r="AB31" i="4"/>
  <c r="AA31" i="4"/>
  <c r="AF31" i="4" s="1"/>
  <c r="AD30" i="4"/>
  <c r="AC30" i="4"/>
  <c r="AB30" i="4"/>
  <c r="AA30" i="4"/>
  <c r="AF30" i="4" s="1"/>
  <c r="AC29" i="4"/>
  <c r="AB29" i="4"/>
  <c r="AA29" i="4"/>
  <c r="AF29" i="4" s="1"/>
  <c r="AD28" i="4"/>
  <c r="AC28" i="4"/>
  <c r="AB28" i="4"/>
  <c r="AA28" i="4"/>
  <c r="AF28" i="4" s="1"/>
  <c r="AD27" i="4"/>
  <c r="AF27" i="4" s="1"/>
  <c r="AD26" i="4"/>
  <c r="AC26" i="4"/>
  <c r="AA26" i="4"/>
  <c r="AF26" i="4" s="1"/>
  <c r="AE25" i="4"/>
  <c r="AF25" i="4" s="1"/>
  <c r="AF24" i="4"/>
  <c r="AD23" i="4"/>
  <c r="AF23" i="4" s="1"/>
  <c r="AD22" i="4"/>
  <c r="AB22" i="4"/>
  <c r="AF22" i="4" s="1"/>
  <c r="AF21" i="4"/>
  <c r="AA20" i="4"/>
  <c r="AF20" i="4" s="1"/>
  <c r="AD19" i="4"/>
  <c r="AC19" i="4"/>
  <c r="AB19" i="4"/>
  <c r="AA19" i="4"/>
  <c r="AF19" i="4" s="1"/>
  <c r="AC18" i="4"/>
  <c r="AB18" i="4"/>
  <c r="AA18" i="4"/>
  <c r="AF18" i="4" s="1"/>
  <c r="AC17" i="4"/>
  <c r="AB17" i="4"/>
  <c r="AA17" i="4"/>
  <c r="AF17" i="4" s="1"/>
  <c r="AD16" i="4"/>
  <c r="AC16" i="4"/>
  <c r="AB16" i="4"/>
  <c r="AA16" i="4"/>
  <c r="AF16" i="4" s="1"/>
  <c r="AD15" i="4"/>
  <c r="AB15" i="4"/>
  <c r="AA15" i="4"/>
  <c r="AF15" i="4" s="1"/>
  <c r="AD14" i="4"/>
  <c r="AC14" i="4"/>
  <c r="AB14" i="4"/>
  <c r="AA14" i="4"/>
  <c r="AF14" i="4" s="1"/>
  <c r="AC13" i="4"/>
  <c r="AF13" i="4" s="1"/>
  <c r="AC12" i="4"/>
  <c r="AF12" i="4" s="1"/>
  <c r="AC11" i="4"/>
  <c r="AB11" i="4"/>
  <c r="AF11" i="4" s="1"/>
  <c r="AC10" i="4"/>
  <c r="AB10" i="4"/>
  <c r="AA10" i="4"/>
  <c r="AF10" i="4" s="1"/>
  <c r="AC9" i="4"/>
  <c r="AF9" i="4" s="1"/>
  <c r="AC8" i="4"/>
  <c r="AA8" i="4"/>
  <c r="AF8" i="4" s="1"/>
  <c r="AF7" i="4"/>
  <c r="AC6" i="4"/>
  <c r="AA6" i="4"/>
  <c r="AF6" i="4" s="1"/>
  <c r="AC5" i="4"/>
  <c r="AB5" i="4"/>
  <c r="AA5" i="4"/>
  <c r="AF5" i="4" s="1"/>
  <c r="AC4" i="4"/>
  <c r="AB4" i="4"/>
  <c r="AA4" i="4"/>
  <c r="AF4" i="4" s="1"/>
  <c r="AF3" i="4"/>
  <c r="AA2" i="4"/>
  <c r="AF2" i="4" s="1"/>
  <c r="U35" i="4"/>
  <c r="T35" i="4"/>
  <c r="S35" i="4"/>
  <c r="R35" i="4"/>
  <c r="Q35" i="4"/>
  <c r="P35" i="4"/>
  <c r="U34" i="4"/>
  <c r="R33" i="4"/>
  <c r="Q33" i="4"/>
  <c r="U33" i="4" s="1"/>
  <c r="R32" i="4"/>
  <c r="U32" i="4" s="1"/>
  <c r="U31" i="4"/>
  <c r="R30" i="4"/>
  <c r="Q30" i="4"/>
  <c r="U30" i="4" s="1"/>
  <c r="R29" i="4"/>
  <c r="Q29" i="4"/>
  <c r="U29" i="4" s="1"/>
  <c r="R28" i="4"/>
  <c r="Q28" i="4"/>
  <c r="U28" i="4" s="1"/>
  <c r="R27" i="4"/>
  <c r="Q27" i="4"/>
  <c r="U27" i="4" s="1"/>
  <c r="R26" i="4"/>
  <c r="Q26" i="4"/>
  <c r="U26" i="4" s="1"/>
  <c r="R25" i="4"/>
  <c r="Q25" i="4"/>
  <c r="U25" i="4" s="1"/>
  <c r="S24" i="4"/>
  <c r="R24" i="4"/>
  <c r="Q24" i="4"/>
  <c r="U24" i="4" s="1"/>
  <c r="S23" i="4"/>
  <c r="R23" i="4"/>
  <c r="Q23" i="4"/>
  <c r="U23" i="4" s="1"/>
  <c r="R22" i="4"/>
  <c r="Q22" i="4"/>
  <c r="P22" i="4"/>
  <c r="U22" i="4" s="1"/>
  <c r="R21" i="4"/>
  <c r="Q21" i="4"/>
  <c r="P21" i="4"/>
  <c r="U21" i="4" s="1"/>
  <c r="R20" i="4"/>
  <c r="Q20" i="4"/>
  <c r="P20" i="4"/>
  <c r="U20" i="4" s="1"/>
  <c r="R19" i="4"/>
  <c r="Q19" i="4"/>
  <c r="P19" i="4"/>
  <c r="U19" i="4" s="1"/>
  <c r="R18" i="4"/>
  <c r="P18" i="4"/>
  <c r="U18" i="4" s="1"/>
  <c r="R17" i="4"/>
  <c r="U17" i="4" s="1"/>
  <c r="R16" i="4"/>
  <c r="Q16" i="4"/>
  <c r="P16" i="4"/>
  <c r="U16" i="4" s="1"/>
  <c r="R15" i="4"/>
  <c r="Q15" i="4"/>
  <c r="P15" i="4"/>
  <c r="U15" i="4" s="1"/>
  <c r="R14" i="4"/>
  <c r="Q14" i="4"/>
  <c r="P14" i="4"/>
  <c r="U14" i="4" s="1"/>
  <c r="U13" i="4"/>
  <c r="U12" i="4"/>
  <c r="U11" i="4"/>
  <c r="U10" i="4"/>
  <c r="R9" i="4"/>
  <c r="Q9" i="4"/>
  <c r="P9" i="4"/>
  <c r="U9" i="4" s="1"/>
  <c r="R8" i="4"/>
  <c r="Q8" i="4"/>
  <c r="P8" i="4"/>
  <c r="U8" i="4" s="1"/>
  <c r="R7" i="4"/>
  <c r="Q7" i="4"/>
  <c r="P7" i="4"/>
  <c r="U7" i="4" s="1"/>
  <c r="R6" i="4"/>
  <c r="Q6" i="4"/>
  <c r="P6" i="4"/>
  <c r="U6" i="4" s="1"/>
  <c r="P5" i="4"/>
  <c r="U5" i="4" s="1"/>
  <c r="P4" i="4"/>
  <c r="U4" i="4" s="1"/>
  <c r="Q3" i="4"/>
  <c r="P3" i="4"/>
  <c r="U3" i="4" s="1"/>
  <c r="R2" i="4"/>
  <c r="Q2" i="4"/>
  <c r="P2" i="4"/>
  <c r="U2" i="4" s="1"/>
  <c r="I32" i="4"/>
  <c r="H32" i="4"/>
  <c r="G32" i="4"/>
  <c r="F32" i="4"/>
  <c r="E32" i="4"/>
  <c r="J31" i="4"/>
  <c r="J30" i="4"/>
  <c r="J29" i="4"/>
  <c r="J28" i="4"/>
  <c r="J27" i="4"/>
  <c r="I26" i="4"/>
  <c r="H26" i="4"/>
  <c r="G26" i="4"/>
  <c r="F26" i="4"/>
  <c r="E26" i="4"/>
  <c r="J26" i="4" s="1"/>
  <c r="J25" i="4"/>
  <c r="J24" i="4"/>
  <c r="J23" i="4"/>
  <c r="J22" i="4"/>
  <c r="J21" i="4"/>
  <c r="J20" i="4"/>
  <c r="J19" i="4"/>
  <c r="I18" i="4"/>
  <c r="H18" i="4"/>
  <c r="G18" i="4"/>
  <c r="F18" i="4"/>
  <c r="E18" i="4"/>
  <c r="J18" i="4" s="1"/>
  <c r="I17" i="4"/>
  <c r="F17" i="4"/>
  <c r="J17" i="4" s="1"/>
  <c r="I16" i="4"/>
  <c r="H16" i="4"/>
  <c r="G16" i="4"/>
  <c r="F16" i="4"/>
  <c r="E16" i="4"/>
  <c r="J16" i="4" s="1"/>
  <c r="J15" i="4"/>
  <c r="J14" i="4"/>
  <c r="J13" i="4"/>
  <c r="J12" i="4"/>
  <c r="J11" i="4"/>
  <c r="J10" i="4"/>
  <c r="J9" i="4"/>
  <c r="J8" i="4"/>
  <c r="H7" i="4"/>
  <c r="F7" i="4"/>
  <c r="E7" i="4"/>
  <c r="J7" i="4" s="1"/>
  <c r="H6" i="4"/>
  <c r="G6" i="4"/>
  <c r="F6" i="4"/>
  <c r="E6" i="4"/>
  <c r="J6" i="4" s="1"/>
  <c r="G5" i="4"/>
  <c r="F5" i="4"/>
  <c r="E5" i="4"/>
  <c r="J5" i="4" s="1"/>
  <c r="I4" i="4"/>
  <c r="H4" i="4"/>
  <c r="G4" i="4"/>
  <c r="F4" i="4"/>
  <c r="E4" i="4"/>
  <c r="J4" i="4" s="1"/>
  <c r="H3" i="4"/>
  <c r="G3" i="4"/>
  <c r="F3" i="4"/>
  <c r="E3" i="4"/>
  <c r="J3" i="4" s="1"/>
  <c r="H2" i="4"/>
  <c r="G2" i="4"/>
  <c r="F2" i="4"/>
  <c r="E2" i="4"/>
  <c r="J2" i="4" s="1"/>
  <c r="J14" i="1"/>
  <c r="J3" i="1"/>
  <c r="J4" i="1"/>
  <c r="J5" i="1"/>
  <c r="J6" i="1"/>
  <c r="J7" i="1"/>
  <c r="J8" i="1"/>
  <c r="J9" i="1"/>
  <c r="J10" i="1"/>
  <c r="J11" i="1"/>
  <c r="J12" i="1"/>
  <c r="J13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2" i="1"/>
  <c r="G108" i="1"/>
  <c r="F108" i="1"/>
  <c r="E108" i="1"/>
  <c r="G107" i="1"/>
  <c r="F107" i="1"/>
  <c r="E107" i="1"/>
  <c r="G106" i="1"/>
  <c r="F106" i="1"/>
  <c r="E106" i="1"/>
  <c r="H105" i="1"/>
  <c r="G105" i="1"/>
  <c r="F105" i="1"/>
  <c r="E105" i="1"/>
  <c r="G104" i="1"/>
  <c r="F104" i="1"/>
  <c r="E104" i="1"/>
  <c r="H103" i="1"/>
  <c r="G103" i="1"/>
  <c r="F103" i="1"/>
  <c r="E103" i="1"/>
  <c r="H102" i="1"/>
  <c r="H101" i="1"/>
  <c r="G101" i="1"/>
  <c r="E101" i="1"/>
  <c r="I100" i="1"/>
  <c r="H98" i="1"/>
  <c r="H97" i="1"/>
  <c r="F97" i="1"/>
  <c r="E95" i="1"/>
  <c r="H94" i="1"/>
  <c r="G94" i="1"/>
  <c r="F94" i="1"/>
  <c r="E94" i="1"/>
  <c r="G93" i="1"/>
  <c r="F93" i="1"/>
  <c r="E93" i="1"/>
  <c r="G92" i="1"/>
  <c r="F92" i="1"/>
  <c r="E92" i="1"/>
  <c r="H91" i="1"/>
  <c r="G91" i="1"/>
  <c r="F91" i="1"/>
  <c r="E91" i="1"/>
  <c r="H90" i="1"/>
  <c r="F90" i="1"/>
  <c r="E90" i="1"/>
  <c r="H89" i="1"/>
  <c r="G89" i="1"/>
  <c r="F89" i="1"/>
  <c r="E89" i="1"/>
  <c r="G88" i="1"/>
  <c r="G87" i="1"/>
  <c r="G86" i="1"/>
  <c r="F86" i="1"/>
  <c r="G85" i="1"/>
  <c r="F85" i="1"/>
  <c r="E85" i="1"/>
  <c r="G84" i="1"/>
  <c r="G83" i="1"/>
  <c r="E83" i="1"/>
  <c r="G81" i="1"/>
  <c r="E81" i="1"/>
  <c r="G80" i="1"/>
  <c r="F80" i="1"/>
  <c r="E80" i="1"/>
  <c r="G79" i="1"/>
  <c r="F79" i="1"/>
  <c r="E79" i="1"/>
  <c r="E77" i="1"/>
  <c r="G75" i="1"/>
  <c r="F75" i="1"/>
  <c r="G74" i="1"/>
  <c r="G72" i="1"/>
  <c r="F72" i="1"/>
  <c r="G71" i="1"/>
  <c r="F71" i="1"/>
  <c r="G70" i="1"/>
  <c r="F70" i="1"/>
  <c r="G69" i="1"/>
  <c r="F69" i="1"/>
  <c r="G68" i="1"/>
  <c r="F68" i="1"/>
  <c r="G67" i="1"/>
  <c r="F67" i="1"/>
  <c r="H66" i="1"/>
  <c r="G66" i="1"/>
  <c r="F66" i="1"/>
  <c r="H65" i="1"/>
  <c r="G65" i="1"/>
  <c r="F65" i="1"/>
  <c r="G64" i="1"/>
  <c r="F64" i="1"/>
  <c r="E64" i="1"/>
  <c r="G63" i="1"/>
  <c r="F63" i="1"/>
  <c r="E63" i="1"/>
  <c r="G62" i="1"/>
  <c r="F62" i="1"/>
  <c r="E62" i="1"/>
  <c r="G61" i="1"/>
  <c r="F61" i="1"/>
  <c r="E61" i="1"/>
  <c r="G60" i="1"/>
  <c r="E60" i="1"/>
  <c r="G59" i="1"/>
  <c r="G58" i="1"/>
  <c r="F58" i="1"/>
  <c r="E58" i="1"/>
  <c r="G57" i="1"/>
  <c r="F57" i="1"/>
  <c r="E57" i="1"/>
  <c r="G56" i="1"/>
  <c r="F56" i="1"/>
  <c r="E56" i="1"/>
  <c r="G51" i="1"/>
  <c r="F51" i="1"/>
  <c r="E51" i="1"/>
  <c r="G50" i="1"/>
  <c r="F50" i="1"/>
  <c r="E50" i="1"/>
  <c r="G49" i="1"/>
  <c r="F49" i="1"/>
  <c r="E49" i="1"/>
  <c r="G48" i="1"/>
  <c r="F48" i="1"/>
  <c r="E48" i="1"/>
  <c r="E47" i="1"/>
  <c r="E46" i="1"/>
  <c r="F45" i="1"/>
  <c r="E45" i="1"/>
  <c r="G44" i="1"/>
  <c r="F44" i="1"/>
  <c r="E44" i="1"/>
  <c r="I38" i="1"/>
  <c r="H38" i="1"/>
  <c r="G38" i="1"/>
  <c r="F38" i="1"/>
  <c r="E38" i="1"/>
  <c r="I30" i="1"/>
  <c r="H30" i="1"/>
  <c r="G30" i="1"/>
  <c r="F30" i="1"/>
  <c r="E30" i="1"/>
  <c r="I29" i="1"/>
  <c r="F29" i="1"/>
  <c r="I28" i="1"/>
  <c r="H28" i="1"/>
  <c r="G28" i="1"/>
  <c r="F28" i="1"/>
  <c r="E28" i="1"/>
  <c r="H19" i="1"/>
  <c r="F19" i="1"/>
  <c r="E19" i="1"/>
  <c r="H18" i="1"/>
  <c r="G18" i="1"/>
  <c r="F18" i="1"/>
  <c r="E18" i="1"/>
  <c r="G17" i="1"/>
  <c r="F17" i="1"/>
  <c r="E17" i="1"/>
  <c r="I16" i="1"/>
  <c r="H16" i="1"/>
  <c r="G16" i="1"/>
  <c r="F16" i="1"/>
  <c r="E16" i="1"/>
  <c r="H15" i="1"/>
  <c r="G15" i="1"/>
  <c r="F15" i="1"/>
  <c r="E15" i="1"/>
  <c r="H14" i="1"/>
  <c r="G14" i="1"/>
  <c r="F14" i="1"/>
  <c r="E14" i="1"/>
</calcChain>
</file>

<file path=xl/sharedStrings.xml><?xml version="1.0" encoding="utf-8"?>
<sst xmlns="http://schemas.openxmlformats.org/spreadsheetml/2006/main" count="870" uniqueCount="129">
  <si>
    <t>Especies</t>
  </si>
  <si>
    <t>R. horribilis</t>
  </si>
  <si>
    <t>S. rostratus</t>
  </si>
  <si>
    <t>B. pugnax</t>
  </si>
  <si>
    <t>S. ruber</t>
  </si>
  <si>
    <t>B. xerophylla</t>
  </si>
  <si>
    <t>L. insularum</t>
  </si>
  <si>
    <t>P. brachyops</t>
  </si>
  <si>
    <t>P. venusta</t>
  </si>
  <si>
    <t>C. calcarata</t>
  </si>
  <si>
    <t>D. microcephalus</t>
  </si>
  <si>
    <t>E. pustulosus</t>
  </si>
  <si>
    <t>Alimento</t>
  </si>
  <si>
    <t>Comercio</t>
  </si>
  <si>
    <t>Mascota</t>
  </si>
  <si>
    <t xml:space="preserve">Artesania </t>
  </si>
  <si>
    <t xml:space="preserve">Medicina </t>
  </si>
  <si>
    <t>C. c. fuscu</t>
  </si>
  <si>
    <t>C. acutus</t>
  </si>
  <si>
    <t>K. scorpioides</t>
  </si>
  <si>
    <t>T. callirostris</t>
  </si>
  <si>
    <t>I. iguana</t>
  </si>
  <si>
    <t>T. cryptus</t>
  </si>
  <si>
    <t>B. basiliscus</t>
  </si>
  <si>
    <t>A. auratus</t>
  </si>
  <si>
    <t>H. frenatus</t>
  </si>
  <si>
    <t>T. bifasciatus</t>
  </si>
  <si>
    <t>G. albogularis</t>
  </si>
  <si>
    <t>C. gaigei</t>
  </si>
  <si>
    <t>A. praesignis</t>
  </si>
  <si>
    <t>B. constrictor</t>
  </si>
  <si>
    <t>B. asper</t>
  </si>
  <si>
    <t>C. durissus</t>
  </si>
  <si>
    <t>H. danieli</t>
  </si>
  <si>
    <t>E. melanotus</t>
  </si>
  <si>
    <t>C. ruschenbergerii</t>
  </si>
  <si>
    <t>L. annulata</t>
  </si>
  <si>
    <t>Micrurus sp</t>
  </si>
  <si>
    <t>L. ahaetulla</t>
  </si>
  <si>
    <t>O. aeneus</t>
  </si>
  <si>
    <t>P. lewyana</t>
  </si>
  <si>
    <t>E. maurus</t>
  </si>
  <si>
    <t>E. bizonus</t>
  </si>
  <si>
    <r>
      <t xml:space="preserve">P. </t>
    </r>
    <r>
      <rPr>
        <i/>
        <sz val="10"/>
        <color theme="1"/>
        <rFont val="Times New Roman"/>
      </rPr>
      <t>neuwiedii</t>
    </r>
  </si>
  <si>
    <t>P. lansbergii</t>
  </si>
  <si>
    <t>P. brasilianus</t>
  </si>
  <si>
    <t>A. herodias</t>
  </si>
  <si>
    <t>A. cocoi</t>
  </si>
  <si>
    <t>A. alba</t>
  </si>
  <si>
    <t>M. americana</t>
  </si>
  <si>
    <t>Ch. chavaria</t>
  </si>
  <si>
    <t>D. viduata</t>
  </si>
  <si>
    <t>D, autumnalis</t>
  </si>
  <si>
    <t>P. haliaetus</t>
  </si>
  <si>
    <t>B. nigricollis</t>
  </si>
  <si>
    <t>R. magnirostris</t>
  </si>
  <si>
    <t>M. chimachima</t>
  </si>
  <si>
    <t>O. garrula</t>
  </si>
  <si>
    <t>P. purpurascens</t>
  </si>
  <si>
    <t>C. cristatus</t>
  </si>
  <si>
    <t>B. bistriatus</t>
  </si>
  <si>
    <t>V.chilensis</t>
  </si>
  <si>
    <t>P. cayennensis</t>
  </si>
  <si>
    <t>C. minuta</t>
  </si>
  <si>
    <t>C. talpacoti</t>
  </si>
  <si>
    <t>L. verreaux</t>
  </si>
  <si>
    <t>A. ararauna</t>
  </si>
  <si>
    <t>A. macao</t>
  </si>
  <si>
    <t xml:space="preserve"> E. pertinax</t>
  </si>
  <si>
    <t>B. jugularis</t>
  </si>
  <si>
    <t>A. ochrocephala</t>
  </si>
  <si>
    <t>T. episcopus</t>
  </si>
  <si>
    <t>V. jacarina</t>
  </si>
  <si>
    <t>S. flaveola</t>
  </si>
  <si>
    <t>C. aura</t>
  </si>
  <si>
    <t>C. atratus</t>
  </si>
  <si>
    <t xml:space="preserve"> I.nigrogularis</t>
  </si>
  <si>
    <t>C. phoeniceus</t>
  </si>
  <si>
    <t>D. marsupialis</t>
  </si>
  <si>
    <t>M. robinsoni</t>
  </si>
  <si>
    <t>D. novemcinctus</t>
  </si>
  <si>
    <t>C. centralis</t>
  </si>
  <si>
    <t>B. variegatus</t>
  </si>
  <si>
    <t>C. hoffmanni</t>
  </si>
  <si>
    <t>M. tridactyla</t>
  </si>
  <si>
    <t>T. mexicana</t>
  </si>
  <si>
    <t>A. seniculus</t>
  </si>
  <si>
    <t>C. v. versicolor</t>
  </si>
  <si>
    <t>A. hybridus</t>
  </si>
  <si>
    <t>A. griseimembra</t>
  </si>
  <si>
    <t>N. granatensis</t>
  </si>
  <si>
    <t>C. prehensilis</t>
  </si>
  <si>
    <t>D. punctata</t>
  </si>
  <si>
    <t>H. isthmius</t>
  </si>
  <si>
    <t>C. paca</t>
  </si>
  <si>
    <t>L. pardalis</t>
  </si>
  <si>
    <t xml:space="preserve"> H. yagouaroundi</t>
  </si>
  <si>
    <t>P. concolor</t>
  </si>
  <si>
    <t>P. onca</t>
  </si>
  <si>
    <t>C. thous</t>
  </si>
  <si>
    <t>P. cancrivorus</t>
  </si>
  <si>
    <t>E. barbara</t>
  </si>
  <si>
    <t>L. longicaudis</t>
  </si>
  <si>
    <t>C. semistriatus</t>
  </si>
  <si>
    <t>P. tajacu</t>
  </si>
  <si>
    <t>T. pecari</t>
  </si>
  <si>
    <t>S. floridanus</t>
  </si>
  <si>
    <t>O. virginianus</t>
  </si>
  <si>
    <t>T. terrestris</t>
  </si>
  <si>
    <t>Anfibios</t>
  </si>
  <si>
    <t>Reptiles</t>
  </si>
  <si>
    <t>Aves</t>
  </si>
  <si>
    <t>Mamiferos</t>
  </si>
  <si>
    <t>Taxón</t>
  </si>
  <si>
    <t>P.A</t>
  </si>
  <si>
    <t>Abundante</t>
  </si>
  <si>
    <t>Escaso</t>
  </si>
  <si>
    <t>Ausente</t>
  </si>
  <si>
    <t>P. AP</t>
  </si>
  <si>
    <t>Negativa</t>
  </si>
  <si>
    <t>Positivo</t>
  </si>
  <si>
    <t>Neutral</t>
  </si>
  <si>
    <t xml:space="preserve">total </t>
  </si>
  <si>
    <t>C. carbonarius</t>
  </si>
  <si>
    <t>Mamíferos</t>
  </si>
  <si>
    <t>Consumo</t>
  </si>
  <si>
    <t xml:space="preserve">Artesanía </t>
  </si>
  <si>
    <t>Total</t>
  </si>
  <si>
    <t>Ubicación geográfica del corregimiento Vaticano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</si>
</sst>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</font>
    <font>
      <i/>
      <sz val="10"/>
      <color theme="1"/>
      <name val="Times New Roman"/>
    </font>
    <font>
      <sz val="10"/>
      <color theme="1"/>
      <name val="Times New Roman"/>
    </font>
    <font>
      <sz val="11"/>
      <color rgb="FF000000"/>
      <name val="Times New Roman"/>
    </font>
    <font>
      <sz val="10"/>
      <color rgb="FF000000"/>
      <name val="Times New Roman"/>
    </font>
    <font>
      <b/>
      <i/>
      <sz val="10"/>
      <color theme="1"/>
      <name val="Times New Roman"/>
    </font>
    <font>
      <sz val="11"/>
      <color theme="1"/>
      <name val="Times New Roman"/>
    </font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1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left" wrapText="1"/>
    </xf>
    <xf numFmtId="0" fontId="2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2" fillId="2" borderId="6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0" fillId="0" borderId="3" xfId="0" applyBorder="1"/>
    <xf numFmtId="0" fontId="0" fillId="2" borderId="3" xfId="0" applyFill="1" applyBorder="1"/>
    <xf numFmtId="0" fontId="0" fillId="0" borderId="12" xfId="0" applyBorder="1"/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0" fillId="0" borderId="14" xfId="0" applyBorder="1"/>
    <xf numFmtId="4" fontId="0" fillId="0" borderId="3" xfId="0" applyNumberFormat="1" applyBorder="1"/>
    <xf numFmtId="3" fontId="0" fillId="0" borderId="3" xfId="0" applyNumberFormat="1" applyBorder="1"/>
    <xf numFmtId="0" fontId="9" fillId="0" borderId="3" xfId="0" applyFont="1" applyBorder="1"/>
    <xf numFmtId="0" fontId="9" fillId="0" borderId="3" xfId="0" applyFont="1" applyBorder="1" applyAlignment="1">
      <alignment horizontal="center"/>
    </xf>
    <xf numFmtId="0" fontId="10" fillId="0" borderId="0" xfId="0" applyFont="1"/>
    <xf numFmtId="0" fontId="10" fillId="0" borderId="3" xfId="0" applyFont="1" applyBorder="1"/>
    <xf numFmtId="9" fontId="10" fillId="0" borderId="3" xfId="1" applyFont="1" applyBorder="1"/>
    <xf numFmtId="0" fontId="10" fillId="0" borderId="15" xfId="0" applyFont="1" applyBorder="1"/>
    <xf numFmtId="9" fontId="10" fillId="0" borderId="15" xfId="1" applyFont="1" applyBorder="1"/>
    <xf numFmtId="0" fontId="0" fillId="0" borderId="3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'Salida 1'!$A$2</c:f>
              <c:strCache>
                <c:ptCount val="1"/>
                <c:pt idx="0">
                  <c:v>Aves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'Salida 1'!$B$1:$F$1</c:f>
              <c:strCache>
                <c:ptCount val="5"/>
                <c:pt idx="0">
                  <c:v>Consumo</c:v>
                </c:pt>
                <c:pt idx="1">
                  <c:v>Comercio</c:v>
                </c:pt>
                <c:pt idx="2">
                  <c:v>Mascota</c:v>
                </c:pt>
                <c:pt idx="3">
                  <c:v>Artesanía </c:v>
                </c:pt>
                <c:pt idx="4">
                  <c:v>Medicina </c:v>
                </c:pt>
              </c:strCache>
            </c:strRef>
          </c:cat>
          <c:val>
            <c:numRef>
              <c:f>'Salida 1'!$B$2:$F$2</c:f>
              <c:numCache>
                <c:formatCode>General</c:formatCode>
                <c:ptCount val="5"/>
                <c:pt idx="0">
                  <c:v>621</c:v>
                </c:pt>
                <c:pt idx="1">
                  <c:v>387</c:v>
                </c:pt>
                <c:pt idx="2">
                  <c:v>773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5-4194-BC47-5458BC9145DD}"/>
            </c:ext>
          </c:extLst>
        </c:ser>
        <c:ser>
          <c:idx val="1"/>
          <c:order val="1"/>
          <c:tx>
            <c:strRef>
              <c:f>'Salida 1'!$A$3</c:f>
              <c:strCache>
                <c:ptCount val="1"/>
                <c:pt idx="0">
                  <c:v>Mamíferos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'Salida 1'!$B$1:$F$1</c:f>
              <c:strCache>
                <c:ptCount val="5"/>
                <c:pt idx="0">
                  <c:v>Consumo</c:v>
                </c:pt>
                <c:pt idx="1">
                  <c:v>Comercio</c:v>
                </c:pt>
                <c:pt idx="2">
                  <c:v>Mascota</c:v>
                </c:pt>
                <c:pt idx="3">
                  <c:v>Artesanía </c:v>
                </c:pt>
                <c:pt idx="4">
                  <c:v>Medicina </c:v>
                </c:pt>
              </c:strCache>
            </c:strRef>
          </c:cat>
          <c:val>
            <c:numRef>
              <c:f>'Salida 1'!$B$3:$F$3</c:f>
              <c:numCache>
                <c:formatCode>General</c:formatCode>
                <c:ptCount val="5"/>
                <c:pt idx="0">
                  <c:v>642</c:v>
                </c:pt>
                <c:pt idx="1">
                  <c:v>454</c:v>
                </c:pt>
                <c:pt idx="2">
                  <c:v>534</c:v>
                </c:pt>
                <c:pt idx="3">
                  <c:v>63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5-4194-BC47-5458BC9145DD}"/>
            </c:ext>
          </c:extLst>
        </c:ser>
        <c:ser>
          <c:idx val="2"/>
          <c:order val="2"/>
          <c:tx>
            <c:strRef>
              <c:f>'Salida 1'!$A$4</c:f>
              <c:strCache>
                <c:ptCount val="1"/>
                <c:pt idx="0">
                  <c:v>Reptiles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'Salida 1'!$B$1:$F$1</c:f>
              <c:strCache>
                <c:ptCount val="5"/>
                <c:pt idx="0">
                  <c:v>Consumo</c:v>
                </c:pt>
                <c:pt idx="1">
                  <c:v>Comercio</c:v>
                </c:pt>
                <c:pt idx="2">
                  <c:v>Mascota</c:v>
                </c:pt>
                <c:pt idx="3">
                  <c:v>Artesanía </c:v>
                </c:pt>
                <c:pt idx="4">
                  <c:v>Medicina </c:v>
                </c:pt>
              </c:strCache>
            </c:strRef>
          </c:cat>
          <c:val>
            <c:numRef>
              <c:f>'Salida 1'!$B$4:$F$4</c:f>
              <c:numCache>
                <c:formatCode>General</c:formatCode>
                <c:ptCount val="5"/>
                <c:pt idx="0">
                  <c:v>289</c:v>
                </c:pt>
                <c:pt idx="1">
                  <c:v>239</c:v>
                </c:pt>
                <c:pt idx="2">
                  <c:v>128</c:v>
                </c:pt>
                <c:pt idx="3">
                  <c:v>93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35-4194-BC47-5458BC9145D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4556047"/>
        <c:axId val="254558447"/>
      </c:barChart>
      <c:catAx>
        <c:axId val="254556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Tipo de uso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54558447"/>
        <c:crosses val="autoZero"/>
        <c:auto val="1"/>
        <c:lblAlgn val="ctr"/>
        <c:lblOffset val="100"/>
        <c:noMultiLvlLbl val="0"/>
      </c:catAx>
      <c:valAx>
        <c:axId val="25455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N.°</a:t>
                </a:r>
                <a:r>
                  <a:rPr lang="es-MX" baseline="0"/>
                  <a:t> de registros</a:t>
                </a:r>
                <a:endParaRPr lang="es-MX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54556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269327</xdr:colOff>
      <xdr:row>6</xdr:row>
      <xdr:rowOff>129243</xdr:rowOff>
    </xdr:from>
    <xdr:to>
      <xdr:col>11</xdr:col>
      <xdr:colOff>319384</xdr:colOff>
      <xdr:row>33</xdr:row>
      <xdr:rowOff>6568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752314-165D-5EEA-08A7-891AFE573C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D263-FB17-4F54-86E2-7D5304EB3B39}">
  <dimension ref="A1:J108"/>
  <sheetViews>
    <sheetView topLeftCell="A90" workbookViewId="0">
      <selection activeCell="A77" sqref="A77:J108"/>
    </sheetView>
  </sheetViews>
  <sheetFormatPr defaultColWidth="11.42578125" defaultRowHeight="15" x14ac:dyDescent="0.25"/>
  <cols>
    <col min="1" max="1" width="23.42578125" style="7" customWidth="1"/>
  </cols>
  <sheetData>
    <row r="1" spans="1:10" x14ac:dyDescent="0.25">
      <c r="A1" s="11" t="s">
        <v>0</v>
      </c>
      <c r="B1" s="21" t="s">
        <v>113</v>
      </c>
      <c r="C1" s="21" t="s">
        <v>114</v>
      </c>
      <c r="D1" s="21" t="s">
        <v>118</v>
      </c>
      <c r="E1" s="16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24" t="s">
        <v>122</v>
      </c>
    </row>
    <row r="2" spans="1:10" x14ac:dyDescent="0.25">
      <c r="A2" s="12" t="s">
        <v>1</v>
      </c>
      <c r="B2" s="22" t="s">
        <v>109</v>
      </c>
      <c r="C2" s="22" t="s">
        <v>115</v>
      </c>
      <c r="D2" s="22" t="s">
        <v>119</v>
      </c>
      <c r="E2" s="8">
        <v>0</v>
      </c>
      <c r="F2" s="2">
        <v>0</v>
      </c>
      <c r="G2" s="2">
        <v>0</v>
      </c>
      <c r="H2" s="2">
        <v>0</v>
      </c>
      <c r="I2" s="36">
        <v>0</v>
      </c>
      <c r="J2" s="41">
        <f>E2+F2+G2+H2+I2</f>
        <v>0</v>
      </c>
    </row>
    <row r="3" spans="1:10" x14ac:dyDescent="0.25">
      <c r="A3" s="12" t="s">
        <v>2</v>
      </c>
      <c r="B3" s="22" t="s">
        <v>109</v>
      </c>
      <c r="C3" s="22" t="s">
        <v>115</v>
      </c>
      <c r="D3" s="22" t="s">
        <v>119</v>
      </c>
      <c r="E3" s="8">
        <v>0</v>
      </c>
      <c r="F3" s="2">
        <v>0</v>
      </c>
      <c r="G3" s="2">
        <v>0</v>
      </c>
      <c r="H3" s="2">
        <v>0</v>
      </c>
      <c r="I3" s="36">
        <v>0</v>
      </c>
      <c r="J3" s="41">
        <f t="shared" ref="J3:J66" si="0">E3+F3+G3+H3+I3</f>
        <v>0</v>
      </c>
    </row>
    <row r="4" spans="1:10" x14ac:dyDescent="0.25">
      <c r="A4" s="12" t="s">
        <v>3</v>
      </c>
      <c r="B4" s="22" t="s">
        <v>109</v>
      </c>
      <c r="C4" s="22" t="s">
        <v>115</v>
      </c>
      <c r="D4" s="22" t="s">
        <v>119</v>
      </c>
      <c r="E4" s="8">
        <v>0</v>
      </c>
      <c r="F4" s="2">
        <v>0</v>
      </c>
      <c r="G4" s="2">
        <v>0</v>
      </c>
      <c r="H4" s="2">
        <v>0</v>
      </c>
      <c r="I4" s="36">
        <v>0</v>
      </c>
      <c r="J4" s="41">
        <f t="shared" si="0"/>
        <v>0</v>
      </c>
    </row>
    <row r="5" spans="1:10" x14ac:dyDescent="0.25">
      <c r="A5" s="12" t="s">
        <v>4</v>
      </c>
      <c r="B5" s="22" t="s">
        <v>109</v>
      </c>
      <c r="C5" s="22" t="s">
        <v>115</v>
      </c>
      <c r="D5" s="22" t="s">
        <v>119</v>
      </c>
      <c r="E5" s="8">
        <v>0</v>
      </c>
      <c r="F5" s="2">
        <v>0</v>
      </c>
      <c r="G5" s="2">
        <v>0</v>
      </c>
      <c r="H5" s="2">
        <v>0</v>
      </c>
      <c r="I5" s="36">
        <v>0</v>
      </c>
      <c r="J5" s="41">
        <f t="shared" si="0"/>
        <v>0</v>
      </c>
    </row>
    <row r="6" spans="1:10" x14ac:dyDescent="0.25">
      <c r="A6" s="12" t="s">
        <v>5</v>
      </c>
      <c r="B6" s="22" t="s">
        <v>109</v>
      </c>
      <c r="C6" s="22" t="s">
        <v>115</v>
      </c>
      <c r="D6" s="22" t="s">
        <v>119</v>
      </c>
      <c r="E6" s="8">
        <v>0</v>
      </c>
      <c r="F6" s="2">
        <v>0</v>
      </c>
      <c r="G6" s="2">
        <v>0</v>
      </c>
      <c r="H6" s="2">
        <v>0</v>
      </c>
      <c r="I6" s="36">
        <v>0</v>
      </c>
      <c r="J6" s="41">
        <f t="shared" si="0"/>
        <v>0</v>
      </c>
    </row>
    <row r="7" spans="1:10" x14ac:dyDescent="0.25">
      <c r="A7" s="12" t="s">
        <v>6</v>
      </c>
      <c r="B7" s="22" t="s">
        <v>109</v>
      </c>
      <c r="C7" s="22" t="s">
        <v>115</v>
      </c>
      <c r="D7" s="22" t="s">
        <v>119</v>
      </c>
      <c r="E7" s="8">
        <v>0</v>
      </c>
      <c r="F7" s="2">
        <v>0</v>
      </c>
      <c r="G7" s="2">
        <v>0</v>
      </c>
      <c r="H7" s="2">
        <v>0</v>
      </c>
      <c r="I7" s="36">
        <v>0</v>
      </c>
      <c r="J7" s="41">
        <f t="shared" si="0"/>
        <v>0</v>
      </c>
    </row>
    <row r="8" spans="1:10" x14ac:dyDescent="0.25">
      <c r="A8" s="13" t="s">
        <v>7</v>
      </c>
      <c r="B8" s="22" t="s">
        <v>109</v>
      </c>
      <c r="C8" s="22" t="s">
        <v>115</v>
      </c>
      <c r="D8" s="22" t="s">
        <v>119</v>
      </c>
      <c r="E8" s="8">
        <v>0</v>
      </c>
      <c r="F8" s="2">
        <v>0</v>
      </c>
      <c r="G8" s="2">
        <v>0</v>
      </c>
      <c r="H8" s="2">
        <v>0</v>
      </c>
      <c r="I8" s="36">
        <v>0</v>
      </c>
      <c r="J8" s="41">
        <f t="shared" si="0"/>
        <v>0</v>
      </c>
    </row>
    <row r="9" spans="1:10" x14ac:dyDescent="0.25">
      <c r="A9" s="12" t="s">
        <v>8</v>
      </c>
      <c r="B9" s="22" t="s">
        <v>109</v>
      </c>
      <c r="C9" s="22" t="s">
        <v>115</v>
      </c>
      <c r="D9" s="22" t="s">
        <v>119</v>
      </c>
      <c r="E9" s="8">
        <v>0</v>
      </c>
      <c r="F9" s="2">
        <v>0</v>
      </c>
      <c r="G9" s="2">
        <v>0</v>
      </c>
      <c r="H9" s="2">
        <v>0</v>
      </c>
      <c r="I9" s="36">
        <v>0</v>
      </c>
      <c r="J9" s="41">
        <f t="shared" si="0"/>
        <v>0</v>
      </c>
    </row>
    <row r="10" spans="1:10" x14ac:dyDescent="0.25">
      <c r="A10" s="12" t="s">
        <v>9</v>
      </c>
      <c r="B10" s="22" t="s">
        <v>109</v>
      </c>
      <c r="C10" s="22" t="s">
        <v>115</v>
      </c>
      <c r="D10" s="22" t="s">
        <v>119</v>
      </c>
      <c r="E10" s="8">
        <v>0</v>
      </c>
      <c r="F10" s="2">
        <v>0</v>
      </c>
      <c r="G10" s="2">
        <v>0</v>
      </c>
      <c r="H10" s="2">
        <v>0</v>
      </c>
      <c r="I10" s="36">
        <v>0</v>
      </c>
      <c r="J10" s="41">
        <f t="shared" si="0"/>
        <v>0</v>
      </c>
    </row>
    <row r="11" spans="1:10" x14ac:dyDescent="0.25">
      <c r="A11" s="12" t="s">
        <v>10</v>
      </c>
      <c r="B11" s="22" t="s">
        <v>109</v>
      </c>
      <c r="C11" s="22" t="s">
        <v>115</v>
      </c>
      <c r="D11" s="22" t="s">
        <v>119</v>
      </c>
      <c r="E11" s="8">
        <v>0</v>
      </c>
      <c r="F11" s="2">
        <v>0</v>
      </c>
      <c r="G11" s="2">
        <v>0</v>
      </c>
      <c r="H11" s="2">
        <v>0</v>
      </c>
      <c r="I11" s="36">
        <v>0</v>
      </c>
      <c r="J11" s="41">
        <f t="shared" si="0"/>
        <v>0</v>
      </c>
    </row>
    <row r="12" spans="1:10" x14ac:dyDescent="0.25">
      <c r="A12" s="12" t="s">
        <v>11</v>
      </c>
      <c r="B12" s="22" t="s">
        <v>109</v>
      </c>
      <c r="C12" s="22" t="s">
        <v>115</v>
      </c>
      <c r="D12" s="22" t="s">
        <v>119</v>
      </c>
      <c r="E12" s="8">
        <v>0</v>
      </c>
      <c r="F12" s="2">
        <v>0</v>
      </c>
      <c r="G12" s="2">
        <v>0</v>
      </c>
      <c r="H12" s="2">
        <v>0</v>
      </c>
      <c r="I12" s="36">
        <v>0</v>
      </c>
      <c r="J12" s="41">
        <f t="shared" si="0"/>
        <v>0</v>
      </c>
    </row>
    <row r="13" spans="1:10" x14ac:dyDescent="0.25">
      <c r="A13" s="12" t="s">
        <v>7</v>
      </c>
      <c r="B13" s="22" t="s">
        <v>109</v>
      </c>
      <c r="C13" s="22" t="s">
        <v>115</v>
      </c>
      <c r="D13" s="22" t="s">
        <v>119</v>
      </c>
      <c r="E13" s="17">
        <v>0</v>
      </c>
      <c r="F13" s="9">
        <v>0</v>
      </c>
      <c r="G13" s="2">
        <v>0</v>
      </c>
      <c r="H13" s="2">
        <v>0</v>
      </c>
      <c r="I13" s="36">
        <v>0</v>
      </c>
      <c r="J13" s="41">
        <f t="shared" si="0"/>
        <v>0</v>
      </c>
    </row>
    <row r="14" spans="1:10" x14ac:dyDescent="0.25">
      <c r="A14" s="25" t="s">
        <v>17</v>
      </c>
      <c r="B14" s="26" t="s">
        <v>110</v>
      </c>
      <c r="C14" s="26" t="s">
        <v>115</v>
      </c>
      <c r="D14" s="27" t="s">
        <v>119</v>
      </c>
      <c r="E14" s="28">
        <f>1+1+1+1+1+1+1+1+1+1+1+1+1+1+1+1+1+1+1+1+1+1+1+1+1+1+1+1+1+1+1+1+1+1+1</f>
        <v>35</v>
      </c>
      <c r="F14" s="29">
        <f>1+1+1+1+1+1+1+1+1+1+1+1+1+1+1+1+1+1+1+1+1+1+1+1+1+1+1+1+1+1+1+1+1+1+1+1+1+1+1+1+1+1+1+1+1</f>
        <v>45</v>
      </c>
      <c r="G14" s="30">
        <f>1+1+1+1+1+1</f>
        <v>6</v>
      </c>
      <c r="H14" s="31">
        <f>1+1+1+1+1+1+1+1+1+1+1+1+1+1+1+1+1+1+1+1+1+1+1+1+1+1+1+1+1+1</f>
        <v>30</v>
      </c>
      <c r="I14" s="37">
        <v>0</v>
      </c>
      <c r="J14" s="42">
        <f>E14+F14+G14+H14+I14</f>
        <v>116</v>
      </c>
    </row>
    <row r="15" spans="1:10" x14ac:dyDescent="0.25">
      <c r="A15" s="14" t="s">
        <v>18</v>
      </c>
      <c r="B15" s="23" t="s">
        <v>110</v>
      </c>
      <c r="C15" s="23" t="s">
        <v>116</v>
      </c>
      <c r="D15" s="22" t="s">
        <v>119</v>
      </c>
      <c r="E15" s="18">
        <f>1+1+1</f>
        <v>3</v>
      </c>
      <c r="F15" s="10">
        <f>1+1+1+1+1</f>
        <v>5</v>
      </c>
      <c r="G15" s="8">
        <f>1+1</f>
        <v>2</v>
      </c>
      <c r="H15" s="2">
        <f>1+1+1</f>
        <v>3</v>
      </c>
      <c r="I15" s="36">
        <v>1</v>
      </c>
      <c r="J15" s="41">
        <f t="shared" si="0"/>
        <v>14</v>
      </c>
    </row>
    <row r="16" spans="1:10" x14ac:dyDescent="0.25">
      <c r="A16" s="25" t="s">
        <v>123</v>
      </c>
      <c r="B16" s="26" t="s">
        <v>110</v>
      </c>
      <c r="C16" s="26" t="s">
        <v>115</v>
      </c>
      <c r="D16" s="26" t="s">
        <v>120</v>
      </c>
      <c r="E16" s="32">
        <f>1+1+1+1+1+1+1+1+1+1+1+1+1+1+1+1+1+1+1+1+1+1+1+1+1+1+1+1+1+1+ 1+1+1+1+1+1+1+1+1+1+1+1+1+1+1+1+1+1+1+1+1+1+1+1+1+1+1+1+1+1+1+1+1</f>
        <v>63</v>
      </c>
      <c r="F16" s="33">
        <f>1+1+1+1+1+1+1+1+1+1+1+1+1+1+1+1+1+1+1+1+1+1+1+1+1+1+1+1+1+1+1+1+1+1+1+1+1+1+1+1+1+1+1+1+1+1+1</f>
        <v>47</v>
      </c>
      <c r="G16" s="31">
        <f>1+1+1+1+1+1+1+1+1+1+1+1+1+1+1+1+1+1+1+1+1+1+1+1+1+1+1+1+1+1+1+1+1+1+1+1+1+1+1+1+1+1+1+1+1+1+1+1+1+1+1+1+1+1+1+1+1+1+1+1+1</f>
        <v>61</v>
      </c>
      <c r="H16" s="31">
        <f>1+1+1+1+1+1+1+1+1+1+1+1+1+1+1+1+1+1+1+1+1+1+1</f>
        <v>23</v>
      </c>
      <c r="I16" s="37">
        <f>1+1+1+1</f>
        <v>4</v>
      </c>
      <c r="J16" s="42">
        <f t="shared" si="0"/>
        <v>198</v>
      </c>
    </row>
    <row r="17" spans="1:10" x14ac:dyDescent="0.25">
      <c r="A17" s="14" t="s">
        <v>19</v>
      </c>
      <c r="B17" s="23" t="s">
        <v>110</v>
      </c>
      <c r="C17" s="23" t="s">
        <v>115</v>
      </c>
      <c r="D17" s="23" t="s">
        <v>120</v>
      </c>
      <c r="E17" s="19">
        <f>1+1+1+1+1+1+1+1+1+1+1+1+1+1+1+1+1+1+1+1+1+1+1+1+1</f>
        <v>25</v>
      </c>
      <c r="F17" s="2">
        <f>1+1+1+1+1+1</f>
        <v>6</v>
      </c>
      <c r="G17" s="2">
        <f>2+1+1+1+1</f>
        <v>6</v>
      </c>
      <c r="H17" s="2">
        <v>1</v>
      </c>
      <c r="I17" s="36">
        <v>0</v>
      </c>
      <c r="J17" s="41">
        <f t="shared" si="0"/>
        <v>38</v>
      </c>
    </row>
    <row r="18" spans="1:10" x14ac:dyDescent="0.25">
      <c r="A18" s="25" t="s">
        <v>20</v>
      </c>
      <c r="B18" s="26" t="s">
        <v>110</v>
      </c>
      <c r="C18" s="26" t="s">
        <v>115</v>
      </c>
      <c r="D18" s="26" t="s">
        <v>120</v>
      </c>
      <c r="E18" s="32">
        <f>1+1+1+1+1+1+1+1+1+1+1+1+1+1+1+1+1+1+1+1+1+1+1+1+1+1+1+1+1+1+ 1+1+1+1+1+1+1+1+1+1+1+1+1+1+1+1+1+1+1+1+1+1+1+1+1+1+1+1+1+1+1+1+1+1</f>
        <v>64</v>
      </c>
      <c r="F18" s="31">
        <f>1+1+1+1+1+1+1+1+1+1+1+1+1+1+1+1+1+1+1+1+1+1+1+1+1+1+1+1+1+1+1+1+1+1+1+1+1+1+1+1+1+1+1+1+1+1+1+1+1+1+1+1+1
+1+1+1</f>
        <v>56</v>
      </c>
      <c r="G18" s="31">
        <f>3+1+1+1+1+1+1+1+1+1+1+1</f>
        <v>14</v>
      </c>
      <c r="H18" s="31">
        <f>4+1+1+1+1+1+1+1+1+1+1+1+1+1+1+1</f>
        <v>19</v>
      </c>
      <c r="I18" s="37">
        <v>0</v>
      </c>
      <c r="J18" s="42">
        <f t="shared" si="0"/>
        <v>153</v>
      </c>
    </row>
    <row r="19" spans="1:10" x14ac:dyDescent="0.25">
      <c r="A19" s="25" t="s">
        <v>21</v>
      </c>
      <c r="B19" s="26" t="s">
        <v>110</v>
      </c>
      <c r="C19" s="26" t="s">
        <v>115</v>
      </c>
      <c r="D19" s="26" t="s">
        <v>120</v>
      </c>
      <c r="E19" s="34">
        <f>1+1+1+1+1+1+1+1+1+1+1+1+1+1+1+1+1+1+1+1+1+1+1+1+1+1+1+1+1+1+1+1+1+1+1+1+1+1+1+1+1+1+1+1+1+1+1+1+1+1+1+1+1
+1+1+1</f>
        <v>56</v>
      </c>
      <c r="F19" s="35">
        <f>1+1+1+1+1+1+1+1+1+1+1+1+1+1+1+ 1+1+1+1+1+1+1+1+1+1+1+1+1+1+1+1+1+1+1+1+1+1+1+1+1+1+1</f>
        <v>42</v>
      </c>
      <c r="G19" s="35">
        <v>0</v>
      </c>
      <c r="H19" s="35">
        <f>1+1</f>
        <v>2</v>
      </c>
      <c r="I19" s="38">
        <v>0</v>
      </c>
      <c r="J19" s="42">
        <f t="shared" si="0"/>
        <v>100</v>
      </c>
    </row>
    <row r="20" spans="1:10" x14ac:dyDescent="0.25">
      <c r="A20" s="14" t="s">
        <v>22</v>
      </c>
      <c r="B20" s="23" t="s">
        <v>110</v>
      </c>
      <c r="C20" s="23" t="s">
        <v>116</v>
      </c>
      <c r="D20" s="23" t="s">
        <v>119</v>
      </c>
      <c r="E20" s="19">
        <v>0</v>
      </c>
      <c r="F20" s="2">
        <v>0</v>
      </c>
      <c r="G20" s="2">
        <v>0</v>
      </c>
      <c r="H20" s="2">
        <v>0</v>
      </c>
      <c r="I20" s="36">
        <v>0</v>
      </c>
      <c r="J20" s="41">
        <f t="shared" si="0"/>
        <v>0</v>
      </c>
    </row>
    <row r="21" spans="1:10" x14ac:dyDescent="0.25">
      <c r="A21" s="14" t="s">
        <v>23</v>
      </c>
      <c r="B21" s="23" t="s">
        <v>110</v>
      </c>
      <c r="C21" s="23" t="s">
        <v>115</v>
      </c>
      <c r="D21" s="23" t="s">
        <v>121</v>
      </c>
      <c r="E21" s="19">
        <v>0</v>
      </c>
      <c r="F21" s="3">
        <v>0</v>
      </c>
      <c r="G21" s="3">
        <v>0</v>
      </c>
      <c r="H21" s="3">
        <v>0</v>
      </c>
      <c r="I21" s="39">
        <v>0</v>
      </c>
      <c r="J21" s="41">
        <f t="shared" si="0"/>
        <v>0</v>
      </c>
    </row>
    <row r="22" spans="1:10" x14ac:dyDescent="0.25">
      <c r="A22" s="14" t="s">
        <v>24</v>
      </c>
      <c r="B22" s="23" t="s">
        <v>110</v>
      </c>
      <c r="C22" s="23" t="s">
        <v>115</v>
      </c>
      <c r="D22" s="23" t="s">
        <v>120</v>
      </c>
      <c r="E22" s="19">
        <v>0</v>
      </c>
      <c r="F22" s="3">
        <v>0</v>
      </c>
      <c r="G22" s="3">
        <v>0</v>
      </c>
      <c r="H22" s="3">
        <v>0</v>
      </c>
      <c r="I22" s="39">
        <v>0</v>
      </c>
      <c r="J22" s="41">
        <f t="shared" si="0"/>
        <v>0</v>
      </c>
    </row>
    <row r="23" spans="1:10" x14ac:dyDescent="0.25">
      <c r="A23" s="14" t="s">
        <v>25</v>
      </c>
      <c r="B23" s="23" t="s">
        <v>110</v>
      </c>
      <c r="C23" s="23" t="s">
        <v>115</v>
      </c>
      <c r="D23" s="23" t="s">
        <v>120</v>
      </c>
      <c r="E23" s="19">
        <v>0</v>
      </c>
      <c r="F23" s="3">
        <v>0</v>
      </c>
      <c r="G23" s="3">
        <v>0</v>
      </c>
      <c r="H23" s="3">
        <v>0</v>
      </c>
      <c r="I23" s="39">
        <v>0</v>
      </c>
      <c r="J23" s="41">
        <f t="shared" si="0"/>
        <v>0</v>
      </c>
    </row>
    <row r="24" spans="1:10" x14ac:dyDescent="0.25">
      <c r="A24" s="14" t="s">
        <v>26</v>
      </c>
      <c r="B24" s="23" t="s">
        <v>110</v>
      </c>
      <c r="C24" s="23" t="s">
        <v>115</v>
      </c>
      <c r="D24" s="23" t="s">
        <v>120</v>
      </c>
      <c r="E24" s="19">
        <v>0</v>
      </c>
      <c r="F24" s="3">
        <v>0</v>
      </c>
      <c r="G24" s="3">
        <v>0</v>
      </c>
      <c r="H24" s="3">
        <v>0</v>
      </c>
      <c r="I24" s="39">
        <v>0</v>
      </c>
      <c r="J24" s="41">
        <f t="shared" si="0"/>
        <v>0</v>
      </c>
    </row>
    <row r="25" spans="1:10" x14ac:dyDescent="0.25">
      <c r="A25" s="14" t="s">
        <v>27</v>
      </c>
      <c r="B25" s="23" t="s">
        <v>110</v>
      </c>
      <c r="C25" s="23" t="s">
        <v>115</v>
      </c>
      <c r="D25" s="23" t="s">
        <v>120</v>
      </c>
      <c r="E25" s="19">
        <v>0</v>
      </c>
      <c r="F25" s="3">
        <v>0</v>
      </c>
      <c r="G25" s="3">
        <v>0</v>
      </c>
      <c r="H25" s="3">
        <v>0</v>
      </c>
      <c r="I25" s="39">
        <v>0</v>
      </c>
      <c r="J25" s="41">
        <f t="shared" si="0"/>
        <v>0</v>
      </c>
    </row>
    <row r="26" spans="1:10" x14ac:dyDescent="0.25">
      <c r="A26" s="14" t="s">
        <v>28</v>
      </c>
      <c r="B26" s="23" t="s">
        <v>110</v>
      </c>
      <c r="C26" s="23" t="s">
        <v>115</v>
      </c>
      <c r="D26" s="23" t="s">
        <v>120</v>
      </c>
      <c r="E26" s="19">
        <v>0</v>
      </c>
      <c r="F26" s="3">
        <v>0</v>
      </c>
      <c r="G26" s="3">
        <v>0</v>
      </c>
      <c r="H26" s="3">
        <v>0</v>
      </c>
      <c r="I26" s="39">
        <v>0</v>
      </c>
      <c r="J26" s="41">
        <f t="shared" si="0"/>
        <v>0</v>
      </c>
    </row>
    <row r="27" spans="1:10" x14ac:dyDescent="0.25">
      <c r="A27" s="14" t="s">
        <v>29</v>
      </c>
      <c r="B27" s="23" t="s">
        <v>110</v>
      </c>
      <c r="C27" s="23" t="s">
        <v>115</v>
      </c>
      <c r="D27" s="23" t="s">
        <v>119</v>
      </c>
      <c r="E27" s="19">
        <v>0</v>
      </c>
      <c r="F27" s="3">
        <v>0</v>
      </c>
      <c r="G27" s="3">
        <v>0</v>
      </c>
      <c r="H27" s="3">
        <v>0</v>
      </c>
      <c r="I27" s="39">
        <v>0</v>
      </c>
      <c r="J27" s="41">
        <f t="shared" si="0"/>
        <v>0</v>
      </c>
    </row>
    <row r="28" spans="1:10" x14ac:dyDescent="0.25">
      <c r="A28" s="14" t="s">
        <v>30</v>
      </c>
      <c r="B28" s="23" t="s">
        <v>110</v>
      </c>
      <c r="C28" s="23" t="s">
        <v>115</v>
      </c>
      <c r="D28" s="23" t="s">
        <v>119</v>
      </c>
      <c r="E28" s="20">
        <f>1+1+1</f>
        <v>3</v>
      </c>
      <c r="F28" s="4">
        <f>1+1+1+1+1+1+1+1+1+1+1+1+1+1+1+1+1+1+1+1</f>
        <v>20</v>
      </c>
      <c r="G28" s="4">
        <f>1+1+1+1+1+1+1+1+1+1+1+1+1+1+1+1+1+1+1+1+1+1+1+1+1+1+1+1+1</f>
        <v>29</v>
      </c>
      <c r="H28" s="4">
        <f>1+1+1+1+1+1+1+1+1</f>
        <v>9</v>
      </c>
      <c r="I28" s="40">
        <f>1+1+1+1</f>
        <v>4</v>
      </c>
      <c r="J28" s="41">
        <f t="shared" si="0"/>
        <v>65</v>
      </c>
    </row>
    <row r="29" spans="1:10" x14ac:dyDescent="0.25">
      <c r="A29" s="14" t="s">
        <v>31</v>
      </c>
      <c r="B29" s="23" t="s">
        <v>110</v>
      </c>
      <c r="C29" s="23" t="s">
        <v>115</v>
      </c>
      <c r="D29" s="23" t="s">
        <v>119</v>
      </c>
      <c r="E29" s="20">
        <v>0</v>
      </c>
      <c r="F29" s="4">
        <f>1</f>
        <v>1</v>
      </c>
      <c r="G29" s="4">
        <v>0</v>
      </c>
      <c r="H29" s="4">
        <v>0</v>
      </c>
      <c r="I29" s="40">
        <f>1+1</f>
        <v>2</v>
      </c>
      <c r="J29" s="41">
        <f t="shared" si="0"/>
        <v>3</v>
      </c>
    </row>
    <row r="30" spans="1:10" x14ac:dyDescent="0.25">
      <c r="A30" s="14" t="s">
        <v>32</v>
      </c>
      <c r="B30" s="23" t="s">
        <v>110</v>
      </c>
      <c r="C30" s="23" t="s">
        <v>115</v>
      </c>
      <c r="D30" s="23" t="s">
        <v>119</v>
      </c>
      <c r="E30" s="20">
        <f>1+1+1</f>
        <v>3</v>
      </c>
      <c r="F30" s="4">
        <f>1+1+1+1+1+1+1+1+1</f>
        <v>9</v>
      </c>
      <c r="G30" s="4">
        <f>1+1+1</f>
        <v>3</v>
      </c>
      <c r="H30" s="4">
        <f>1+1</f>
        <v>2</v>
      </c>
      <c r="I30" s="40">
        <f>1+1+1+1+1+1+1+1+1+1+1+1+1+1+1+1+1+1+1+1+1+1+1</f>
        <v>23</v>
      </c>
      <c r="J30" s="41">
        <f t="shared" si="0"/>
        <v>40</v>
      </c>
    </row>
    <row r="31" spans="1:10" x14ac:dyDescent="0.25">
      <c r="A31" s="14" t="s">
        <v>33</v>
      </c>
      <c r="B31" s="23" t="s">
        <v>110</v>
      </c>
      <c r="C31" s="23" t="s">
        <v>115</v>
      </c>
      <c r="D31" s="23" t="s">
        <v>119</v>
      </c>
      <c r="E31" s="20">
        <v>0</v>
      </c>
      <c r="F31" s="4">
        <v>0</v>
      </c>
      <c r="G31" s="4">
        <v>0</v>
      </c>
      <c r="H31" s="4">
        <v>0</v>
      </c>
      <c r="I31" s="40">
        <v>1</v>
      </c>
      <c r="J31" s="41">
        <f t="shared" si="0"/>
        <v>1</v>
      </c>
    </row>
    <row r="32" spans="1:10" x14ac:dyDescent="0.25">
      <c r="A32" s="14" t="s">
        <v>34</v>
      </c>
      <c r="B32" s="23" t="s">
        <v>110</v>
      </c>
      <c r="C32" s="23" t="s">
        <v>115</v>
      </c>
      <c r="D32" s="23" t="s">
        <v>119</v>
      </c>
      <c r="E32" s="20">
        <v>0</v>
      </c>
      <c r="F32" s="4">
        <v>0</v>
      </c>
      <c r="G32" s="4">
        <v>0</v>
      </c>
      <c r="H32" s="4">
        <v>0</v>
      </c>
      <c r="I32" s="40">
        <v>0</v>
      </c>
      <c r="J32" s="41">
        <f t="shared" si="0"/>
        <v>0</v>
      </c>
    </row>
    <row r="33" spans="1:10" x14ac:dyDescent="0.25">
      <c r="A33" s="14" t="s">
        <v>35</v>
      </c>
      <c r="B33" s="23" t="s">
        <v>110</v>
      </c>
      <c r="C33" s="23" t="s">
        <v>115</v>
      </c>
      <c r="D33" s="23" t="s">
        <v>119</v>
      </c>
      <c r="E33" s="20">
        <v>0</v>
      </c>
      <c r="F33" s="4">
        <v>0</v>
      </c>
      <c r="G33" s="4">
        <v>0</v>
      </c>
      <c r="H33" s="4">
        <v>0</v>
      </c>
      <c r="I33" s="40">
        <v>0</v>
      </c>
      <c r="J33" s="41">
        <f t="shared" si="0"/>
        <v>0</v>
      </c>
    </row>
    <row r="34" spans="1:10" x14ac:dyDescent="0.25">
      <c r="A34" s="14" t="s">
        <v>36</v>
      </c>
      <c r="B34" s="23" t="s">
        <v>110</v>
      </c>
      <c r="C34" s="23" t="s">
        <v>115</v>
      </c>
      <c r="D34" s="23" t="s">
        <v>119</v>
      </c>
      <c r="E34" s="20">
        <v>0</v>
      </c>
      <c r="F34" s="4">
        <v>0</v>
      </c>
      <c r="G34" s="4">
        <v>0</v>
      </c>
      <c r="H34" s="4">
        <v>0</v>
      </c>
      <c r="I34" s="40">
        <v>0</v>
      </c>
      <c r="J34" s="41">
        <f t="shared" si="0"/>
        <v>0</v>
      </c>
    </row>
    <row r="35" spans="1:10" x14ac:dyDescent="0.25">
      <c r="A35" s="14" t="s">
        <v>37</v>
      </c>
      <c r="B35" s="23" t="s">
        <v>110</v>
      </c>
      <c r="C35" s="23" t="s">
        <v>115</v>
      </c>
      <c r="D35" s="23" t="s">
        <v>119</v>
      </c>
      <c r="E35" s="20">
        <v>0</v>
      </c>
      <c r="F35" s="4">
        <v>0</v>
      </c>
      <c r="G35" s="4">
        <v>0</v>
      </c>
      <c r="H35" s="4">
        <v>0</v>
      </c>
      <c r="I35" s="40">
        <v>1</v>
      </c>
      <c r="J35" s="41">
        <f t="shared" si="0"/>
        <v>1</v>
      </c>
    </row>
    <row r="36" spans="1:10" x14ac:dyDescent="0.25">
      <c r="A36" s="14" t="s">
        <v>38</v>
      </c>
      <c r="B36" s="23" t="s">
        <v>110</v>
      </c>
      <c r="C36" s="23" t="s">
        <v>115</v>
      </c>
      <c r="D36" s="23" t="s">
        <v>119</v>
      </c>
      <c r="E36" s="20">
        <v>0</v>
      </c>
      <c r="F36" s="4">
        <v>0</v>
      </c>
      <c r="G36" s="4">
        <v>0</v>
      </c>
      <c r="H36" s="4">
        <v>0</v>
      </c>
      <c r="I36" s="40">
        <v>0</v>
      </c>
      <c r="J36" s="41">
        <f t="shared" si="0"/>
        <v>0</v>
      </c>
    </row>
    <row r="37" spans="1:10" x14ac:dyDescent="0.25">
      <c r="A37" s="14" t="s">
        <v>39</v>
      </c>
      <c r="B37" s="23" t="s">
        <v>110</v>
      </c>
      <c r="C37" s="23" t="s">
        <v>115</v>
      </c>
      <c r="D37" s="23" t="s">
        <v>119</v>
      </c>
      <c r="E37" s="20">
        <v>0</v>
      </c>
      <c r="F37" s="4">
        <v>0</v>
      </c>
      <c r="G37" s="4">
        <v>0</v>
      </c>
      <c r="H37" s="4">
        <v>0</v>
      </c>
      <c r="I37" s="40">
        <v>0</v>
      </c>
      <c r="J37" s="41">
        <f t="shared" si="0"/>
        <v>0</v>
      </c>
    </row>
    <row r="38" spans="1:10" x14ac:dyDescent="0.25">
      <c r="A38" s="14" t="s">
        <v>40</v>
      </c>
      <c r="B38" s="23" t="s">
        <v>110</v>
      </c>
      <c r="C38" s="23" t="s">
        <v>115</v>
      </c>
      <c r="D38" s="23" t="s">
        <v>120</v>
      </c>
      <c r="E38" s="20">
        <f>1+1+1+1+1+1+1+1+1+1+1+1+1+1+1+1+1+1+1+1+1+1+1+1+1+1+1+ 1+1+1+1+1+1+1+1+1+1</f>
        <v>37</v>
      </c>
      <c r="F38" s="4">
        <f>1+1+1+1+1+1+1+1</f>
        <v>8</v>
      </c>
      <c r="G38" s="5">
        <f>3+1+1+1+1</f>
        <v>7</v>
      </c>
      <c r="H38" s="4">
        <f>2+1+1</f>
        <v>4</v>
      </c>
      <c r="I38" s="40">
        <f>1+1</f>
        <v>2</v>
      </c>
      <c r="J38" s="41">
        <f t="shared" si="0"/>
        <v>58</v>
      </c>
    </row>
    <row r="39" spans="1:10" x14ac:dyDescent="0.25">
      <c r="A39" s="14" t="s">
        <v>41</v>
      </c>
      <c r="B39" s="23" t="s">
        <v>110</v>
      </c>
      <c r="C39" s="23" t="s">
        <v>115</v>
      </c>
      <c r="D39" s="23" t="s">
        <v>119</v>
      </c>
      <c r="E39" s="20">
        <v>0</v>
      </c>
      <c r="F39" s="4">
        <v>0</v>
      </c>
      <c r="G39" s="4">
        <v>0</v>
      </c>
      <c r="H39" s="4">
        <v>0</v>
      </c>
      <c r="I39" s="40">
        <v>0</v>
      </c>
      <c r="J39" s="41">
        <f t="shared" si="0"/>
        <v>0</v>
      </c>
    </row>
    <row r="40" spans="1:10" x14ac:dyDescent="0.25">
      <c r="A40" s="14" t="s">
        <v>42</v>
      </c>
      <c r="B40" s="23" t="s">
        <v>110</v>
      </c>
      <c r="C40" s="23" t="s">
        <v>115</v>
      </c>
      <c r="D40" s="23" t="s">
        <v>119</v>
      </c>
      <c r="E40" s="20">
        <v>0</v>
      </c>
      <c r="F40" s="4">
        <v>0</v>
      </c>
      <c r="G40" s="4">
        <v>0</v>
      </c>
      <c r="H40" s="4">
        <v>0</v>
      </c>
      <c r="I40" s="40">
        <v>0</v>
      </c>
      <c r="J40" s="41">
        <f t="shared" si="0"/>
        <v>0</v>
      </c>
    </row>
    <row r="41" spans="1:10" x14ac:dyDescent="0.25">
      <c r="A41" s="15" t="s">
        <v>43</v>
      </c>
      <c r="B41" s="23" t="s">
        <v>110</v>
      </c>
      <c r="C41" s="23" t="s">
        <v>115</v>
      </c>
      <c r="D41" s="23" t="s">
        <v>119</v>
      </c>
      <c r="E41" s="20">
        <v>0</v>
      </c>
      <c r="F41" s="4">
        <v>0</v>
      </c>
      <c r="G41" s="4">
        <v>0</v>
      </c>
      <c r="H41" s="4">
        <v>0</v>
      </c>
      <c r="I41" s="40">
        <v>0</v>
      </c>
      <c r="J41" s="41">
        <f t="shared" si="0"/>
        <v>0</v>
      </c>
    </row>
    <row r="42" spans="1:10" x14ac:dyDescent="0.25">
      <c r="A42" s="14" t="s">
        <v>44</v>
      </c>
      <c r="B42" s="23" t="s">
        <v>110</v>
      </c>
      <c r="C42" s="23" t="s">
        <v>115</v>
      </c>
      <c r="D42" s="23" t="s">
        <v>119</v>
      </c>
      <c r="E42" s="20">
        <v>0</v>
      </c>
      <c r="F42" s="4">
        <v>0</v>
      </c>
      <c r="G42" s="4">
        <v>0</v>
      </c>
      <c r="H42" s="4">
        <v>0</v>
      </c>
      <c r="I42" s="40">
        <v>0</v>
      </c>
      <c r="J42" s="41">
        <f t="shared" si="0"/>
        <v>0</v>
      </c>
    </row>
    <row r="43" spans="1:10" x14ac:dyDescent="0.25">
      <c r="A43" s="14" t="s">
        <v>34</v>
      </c>
      <c r="B43" s="23" t="s">
        <v>110</v>
      </c>
      <c r="C43" s="23" t="s">
        <v>115</v>
      </c>
      <c r="D43" s="23" t="s">
        <v>119</v>
      </c>
      <c r="E43" s="20">
        <v>0</v>
      </c>
      <c r="F43" s="4">
        <v>0</v>
      </c>
      <c r="G43" s="4">
        <v>0</v>
      </c>
      <c r="H43" s="4">
        <v>0</v>
      </c>
      <c r="I43" s="40">
        <v>0</v>
      </c>
      <c r="J43" s="41">
        <f t="shared" si="0"/>
        <v>0</v>
      </c>
    </row>
    <row r="44" spans="1:10" x14ac:dyDescent="0.25">
      <c r="A44" s="14" t="s">
        <v>45</v>
      </c>
      <c r="B44" s="23" t="s">
        <v>111</v>
      </c>
      <c r="C44" s="23" t="s">
        <v>115</v>
      </c>
      <c r="D44" s="23" t="s">
        <v>120</v>
      </c>
      <c r="E44" s="8">
        <f>1+1+1+1+1+1+1+1+1+1+1+1+1+1+1+1+1+1+1+1+1+1+1+1+1+1+1+1+1+1+1+1+1+1+1+1+1+1</f>
        <v>38</v>
      </c>
      <c r="F44" s="2">
        <f>1+1+1+1+1+1</f>
        <v>6</v>
      </c>
      <c r="G44" s="2">
        <f>1+1+1</f>
        <v>3</v>
      </c>
      <c r="H44" s="2">
        <v>0</v>
      </c>
      <c r="I44" s="36">
        <v>0</v>
      </c>
      <c r="J44" s="41">
        <f t="shared" si="0"/>
        <v>47</v>
      </c>
    </row>
    <row r="45" spans="1:10" x14ac:dyDescent="0.25">
      <c r="A45" s="14" t="s">
        <v>46</v>
      </c>
      <c r="B45" s="23" t="s">
        <v>111</v>
      </c>
      <c r="C45" s="23" t="s">
        <v>115</v>
      </c>
      <c r="D45" s="23" t="s">
        <v>120</v>
      </c>
      <c r="E45" s="8">
        <f>1+1+1+1+1+1+1+1+ 1+1+1+1+1</f>
        <v>13</v>
      </c>
      <c r="F45" s="2">
        <f>1+1+1+1+1+1+1+1</f>
        <v>8</v>
      </c>
      <c r="G45" s="2">
        <v>0</v>
      </c>
      <c r="H45" s="2">
        <v>0</v>
      </c>
      <c r="I45" s="36">
        <v>0</v>
      </c>
      <c r="J45" s="41">
        <f t="shared" si="0"/>
        <v>21</v>
      </c>
    </row>
    <row r="46" spans="1:10" x14ac:dyDescent="0.25">
      <c r="A46" s="14" t="s">
        <v>47</v>
      </c>
      <c r="B46" s="23" t="s">
        <v>111</v>
      </c>
      <c r="C46" s="23" t="s">
        <v>115</v>
      </c>
      <c r="D46" s="23" t="s">
        <v>120</v>
      </c>
      <c r="E46" s="8">
        <f>1+1+1+1+1+1+1+1+1+1+1+1+1+1+1+1+1+1+1+1+1+1+1+1+1+1+1+1</f>
        <v>28</v>
      </c>
      <c r="F46" s="2">
        <v>0</v>
      </c>
      <c r="G46" s="2">
        <v>0</v>
      </c>
      <c r="H46" s="2">
        <v>0</v>
      </c>
      <c r="I46" s="36">
        <v>0</v>
      </c>
      <c r="J46" s="41">
        <f t="shared" si="0"/>
        <v>28</v>
      </c>
    </row>
    <row r="47" spans="1:10" x14ac:dyDescent="0.25">
      <c r="A47" s="14" t="s">
        <v>48</v>
      </c>
      <c r="B47" s="23" t="s">
        <v>111</v>
      </c>
      <c r="C47" s="23" t="s">
        <v>115</v>
      </c>
      <c r="D47" s="23" t="s">
        <v>120</v>
      </c>
      <c r="E47" s="8">
        <f>1+1+1+1+1+1+1</f>
        <v>7</v>
      </c>
      <c r="F47" s="2">
        <v>0</v>
      </c>
      <c r="G47" s="2">
        <v>0</v>
      </c>
      <c r="H47" s="2">
        <v>0</v>
      </c>
      <c r="I47" s="36">
        <v>0</v>
      </c>
      <c r="J47" s="41">
        <f t="shared" si="0"/>
        <v>7</v>
      </c>
    </row>
    <row r="48" spans="1:10" x14ac:dyDescent="0.25">
      <c r="A48" s="14" t="s">
        <v>49</v>
      </c>
      <c r="B48" s="23" t="s">
        <v>111</v>
      </c>
      <c r="C48" s="23" t="s">
        <v>115</v>
      </c>
      <c r="D48" s="23" t="s">
        <v>120</v>
      </c>
      <c r="E48" s="8">
        <f>1+1+1+1+1+1+1+1+1+1+1+1+1+1+1+1+1+1+1+1+1+1+1+1+1+1+1+1+1+1+1+1+1+1+1+1+1+1+1+1+1+1+1+1+1+1+1+1</f>
        <v>48</v>
      </c>
      <c r="F48" s="2">
        <f>1+1+1+1+1+1</f>
        <v>6</v>
      </c>
      <c r="G48" s="2">
        <f>1+1</f>
        <v>2</v>
      </c>
      <c r="H48" s="2">
        <v>0</v>
      </c>
      <c r="I48" s="36">
        <v>0</v>
      </c>
      <c r="J48" s="41">
        <f t="shared" si="0"/>
        <v>56</v>
      </c>
    </row>
    <row r="49" spans="1:10" x14ac:dyDescent="0.25">
      <c r="A49" s="14" t="s">
        <v>50</v>
      </c>
      <c r="B49" s="23" t="s">
        <v>111</v>
      </c>
      <c r="C49" s="23" t="s">
        <v>115</v>
      </c>
      <c r="D49" s="23" t="s">
        <v>120</v>
      </c>
      <c r="E49" s="8">
        <f>1+1+1+1+1+1+1+1+1+1+1+1+1+1+1+1+1+1+1+1+1+1+1+1+1+1+1+1+1+1</f>
        <v>30</v>
      </c>
      <c r="F49" s="2">
        <f>1+1+1+1+1+1</f>
        <v>6</v>
      </c>
      <c r="G49" s="2">
        <f>1+1+1+1+1+1+1+1+1+1+1</f>
        <v>11</v>
      </c>
      <c r="H49" s="2">
        <v>0</v>
      </c>
      <c r="I49" s="36">
        <v>0</v>
      </c>
      <c r="J49" s="41">
        <f t="shared" si="0"/>
        <v>47</v>
      </c>
    </row>
    <row r="50" spans="1:10" x14ac:dyDescent="0.25">
      <c r="A50" s="14" t="s">
        <v>51</v>
      </c>
      <c r="B50" s="23" t="s">
        <v>111</v>
      </c>
      <c r="C50" s="23" t="s">
        <v>115</v>
      </c>
      <c r="D50" s="23" t="s">
        <v>120</v>
      </c>
      <c r="E50" s="8">
        <f>1+1+1+1+1+1+1+1+1+1+1+1+1+1+1+1+1+1+1+1+1+1+1+1+1+1+1+1+1+1+1+1+1</f>
        <v>33</v>
      </c>
      <c r="F50" s="2">
        <f>1+1+1+1</f>
        <v>4</v>
      </c>
      <c r="G50" s="2">
        <f>1+1+1+1+1+1+1+1+ 1+1+1+1+1</f>
        <v>13</v>
      </c>
      <c r="H50" s="2"/>
      <c r="I50" s="36"/>
      <c r="J50" s="41">
        <f t="shared" si="0"/>
        <v>50</v>
      </c>
    </row>
    <row r="51" spans="1:10" x14ac:dyDescent="0.25">
      <c r="A51" s="25" t="s">
        <v>52</v>
      </c>
      <c r="B51" s="26" t="s">
        <v>111</v>
      </c>
      <c r="C51" s="26" t="s">
        <v>115</v>
      </c>
      <c r="D51" s="26" t="s">
        <v>120</v>
      </c>
      <c r="E51" s="30">
        <f>1+1+1+1+1+1+1+1+1+1+1+1+1+1+1+1+1+1+1+1+1+1+1+1+1+1+1+1+1+1+1+1+1+1+1+1+1+1+1+1+1+1+1+1+1+1+1+1+1+1+1+1+ 1+1+1+1+1+1+1+1+1+1+1+1</f>
        <v>64</v>
      </c>
      <c r="F51" s="31">
        <f>1+1+1+1+ 1+1+1+1+1+1+1+1+1+1+1+1+1+1+1+1</f>
        <v>20</v>
      </c>
      <c r="G51" s="31">
        <f>1+1+1+1+1+1+1+1+1+1+1+1+1+1+1+1+1+1+1+1+1+1+1+1+1+1+1+1+1+1+1+1+1+1+1+1+1+1+1+1+1+1+1</f>
        <v>43</v>
      </c>
      <c r="H51" s="31">
        <v>0</v>
      </c>
      <c r="I51" s="37">
        <v>0</v>
      </c>
      <c r="J51" s="42">
        <f t="shared" si="0"/>
        <v>127</v>
      </c>
    </row>
    <row r="52" spans="1:10" x14ac:dyDescent="0.25">
      <c r="A52" s="14" t="s">
        <v>53</v>
      </c>
      <c r="B52" s="23" t="s">
        <v>111</v>
      </c>
      <c r="C52" s="23" t="s">
        <v>115</v>
      </c>
      <c r="D52" s="23" t="s">
        <v>119</v>
      </c>
      <c r="E52" s="8">
        <v>0</v>
      </c>
      <c r="F52" s="2">
        <v>0</v>
      </c>
      <c r="G52" s="2">
        <v>0</v>
      </c>
      <c r="H52" s="2">
        <v>0</v>
      </c>
      <c r="I52" s="36">
        <v>0</v>
      </c>
      <c r="J52" s="41">
        <f t="shared" si="0"/>
        <v>0</v>
      </c>
    </row>
    <row r="53" spans="1:10" x14ac:dyDescent="0.25">
      <c r="A53" s="14" t="s">
        <v>54</v>
      </c>
      <c r="B53" s="23" t="s">
        <v>111</v>
      </c>
      <c r="C53" s="23" t="s">
        <v>115</v>
      </c>
      <c r="D53" s="23" t="s">
        <v>119</v>
      </c>
      <c r="E53" s="8">
        <v>0</v>
      </c>
      <c r="F53" s="2">
        <v>0</v>
      </c>
      <c r="G53" s="2">
        <v>0</v>
      </c>
      <c r="H53" s="2">
        <v>0</v>
      </c>
      <c r="I53" s="36">
        <v>0</v>
      </c>
      <c r="J53" s="41">
        <f t="shared" si="0"/>
        <v>0</v>
      </c>
    </row>
    <row r="54" spans="1:10" x14ac:dyDescent="0.25">
      <c r="A54" s="14" t="s">
        <v>55</v>
      </c>
      <c r="B54" s="23" t="s">
        <v>111</v>
      </c>
      <c r="C54" s="23" t="s">
        <v>115</v>
      </c>
      <c r="D54" s="23" t="s">
        <v>119</v>
      </c>
      <c r="E54" s="8">
        <v>0</v>
      </c>
      <c r="F54" s="2">
        <v>0</v>
      </c>
      <c r="G54" s="2">
        <v>0</v>
      </c>
      <c r="H54" s="2">
        <v>0</v>
      </c>
      <c r="I54" s="36">
        <v>0</v>
      </c>
      <c r="J54" s="41">
        <f t="shared" si="0"/>
        <v>0</v>
      </c>
    </row>
    <row r="55" spans="1:10" x14ac:dyDescent="0.25">
      <c r="A55" s="14" t="s">
        <v>56</v>
      </c>
      <c r="B55" s="23" t="s">
        <v>111</v>
      </c>
      <c r="C55" s="23" t="s">
        <v>115</v>
      </c>
      <c r="D55" s="23" t="s">
        <v>119</v>
      </c>
      <c r="E55" s="8">
        <v>0</v>
      </c>
      <c r="F55" s="2">
        <v>0</v>
      </c>
      <c r="G55" s="2">
        <v>0</v>
      </c>
      <c r="H55" s="2">
        <v>0</v>
      </c>
      <c r="I55" s="36">
        <v>0</v>
      </c>
      <c r="J55" s="41">
        <f t="shared" si="0"/>
        <v>0</v>
      </c>
    </row>
    <row r="56" spans="1:10" x14ac:dyDescent="0.25">
      <c r="A56" s="25" t="s">
        <v>57</v>
      </c>
      <c r="B56" s="26" t="s">
        <v>111</v>
      </c>
      <c r="C56" s="26" t="s">
        <v>115</v>
      </c>
      <c r="D56" s="26" t="s">
        <v>120</v>
      </c>
      <c r="E56" s="30">
        <f>1+1+1+1+1+1+1+1+1+1+1+1+1+1+1+1+1+1+1+1+1+1+1+1+1+1+1+1+1+1+1+1+1+1+1+1+1+1+1+1+1+1+1+1+1+1+1+1+1+1+1+1+1+1+1+1+1+1+1+1+1+1+1</f>
        <v>63</v>
      </c>
      <c r="F56" s="31">
        <f>1+1+1+1+ 1+1+1+1+1+1+1+1+1+1+1+1+1+1+1+1</f>
        <v>20</v>
      </c>
      <c r="G56" s="31">
        <f>1+1+1+1+1+1+1+1+1+1+1+1+1+1+1+1+1+1+1+1+1+1+1 +1+1+1+1+1+1+1+1+1+1+1+1+1+1+1+1+1+1+1+1+1+1+1+1+1+1+1+1+1+1+1+1+1+1</f>
        <v>57</v>
      </c>
      <c r="H56" s="31">
        <v>0</v>
      </c>
      <c r="I56" s="37">
        <v>0</v>
      </c>
      <c r="J56" s="42">
        <f t="shared" si="0"/>
        <v>140</v>
      </c>
    </row>
    <row r="57" spans="1:10" x14ac:dyDescent="0.25">
      <c r="A57" s="14" t="s">
        <v>58</v>
      </c>
      <c r="B57" s="23" t="s">
        <v>111</v>
      </c>
      <c r="C57" s="23" t="s">
        <v>115</v>
      </c>
      <c r="D57" s="23" t="s">
        <v>120</v>
      </c>
      <c r="E57" s="8">
        <f>1+1+1+1+ 1+1+1+1+1+1+1+1+1+1+1+1+1+1+1+1</f>
        <v>20</v>
      </c>
      <c r="F57" s="2">
        <f>1+1+1</f>
        <v>3</v>
      </c>
      <c r="G57" s="2">
        <f>1+1+1+1</f>
        <v>4</v>
      </c>
      <c r="H57" s="2">
        <v>0</v>
      </c>
      <c r="I57" s="36">
        <v>0</v>
      </c>
      <c r="J57" s="41">
        <f t="shared" si="0"/>
        <v>27</v>
      </c>
    </row>
    <row r="58" spans="1:10" x14ac:dyDescent="0.25">
      <c r="A58" s="14" t="s">
        <v>59</v>
      </c>
      <c r="B58" s="23" t="s">
        <v>111</v>
      </c>
      <c r="C58" s="23" t="s">
        <v>115</v>
      </c>
      <c r="D58" s="23" t="s">
        <v>120</v>
      </c>
      <c r="E58" s="8">
        <f>1+1+1+1+1+1+1+1+1+1+1+1+1+1+1+1+1+1+1+1+1+1+1+1+1+1+1+1+1+1+1+1+1+1+1+1+1+1+1+1+1+1+1+1+1+1+1+1+1+1+1+1+1+1+1+1+1+1+1+1+1+1</f>
        <v>62</v>
      </c>
      <c r="F58" s="2">
        <f>3+1+1+1+1+1+1+1</f>
        <v>10</v>
      </c>
      <c r="G58" s="2">
        <f>1+1+1+1+1+1+1+1+1+1+1+1+1+1+1+1+1+1+1</f>
        <v>19</v>
      </c>
      <c r="H58" s="2">
        <v>0</v>
      </c>
      <c r="I58" s="36">
        <v>1</v>
      </c>
      <c r="J58" s="41">
        <f t="shared" si="0"/>
        <v>92</v>
      </c>
    </row>
    <row r="59" spans="1:10" x14ac:dyDescent="0.25">
      <c r="A59" s="14" t="s">
        <v>60</v>
      </c>
      <c r="B59" s="23" t="s">
        <v>111</v>
      </c>
      <c r="C59" s="23" t="s">
        <v>115</v>
      </c>
      <c r="D59" s="23" t="s">
        <v>120</v>
      </c>
      <c r="E59" s="8">
        <v>0</v>
      </c>
      <c r="F59" s="2">
        <v>0</v>
      </c>
      <c r="G59" s="2">
        <f>1+1+1+1+1+1+1+1+1+1+1+1+1+1+1+1+1+1+1+1+1+1+1</f>
        <v>23</v>
      </c>
      <c r="H59" s="2">
        <v>0</v>
      </c>
      <c r="I59" s="36">
        <v>0</v>
      </c>
      <c r="J59" s="41">
        <f t="shared" si="0"/>
        <v>23</v>
      </c>
    </row>
    <row r="60" spans="1:10" x14ac:dyDescent="0.25">
      <c r="A60" s="14" t="s">
        <v>61</v>
      </c>
      <c r="B60" s="23" t="s">
        <v>111</v>
      </c>
      <c r="C60" s="23" t="s">
        <v>115</v>
      </c>
      <c r="D60" s="23" t="s">
        <v>120</v>
      </c>
      <c r="E60" s="8">
        <f>1+1+1</f>
        <v>3</v>
      </c>
      <c r="F60" s="2">
        <v>0</v>
      </c>
      <c r="G60" s="2">
        <f>1+1+1+1+1+1+1+1</f>
        <v>8</v>
      </c>
      <c r="H60" s="2">
        <v>0</v>
      </c>
      <c r="I60" s="36">
        <v>0</v>
      </c>
      <c r="J60" s="41">
        <f t="shared" si="0"/>
        <v>11</v>
      </c>
    </row>
    <row r="61" spans="1:10" x14ac:dyDescent="0.25">
      <c r="A61" s="14" t="s">
        <v>62</v>
      </c>
      <c r="B61" s="23" t="s">
        <v>111</v>
      </c>
      <c r="C61" s="23" t="s">
        <v>115</v>
      </c>
      <c r="D61" s="23" t="s">
        <v>120</v>
      </c>
      <c r="E61" s="8">
        <f>1+1+1+1+1+1+1+1+1+1+1+1+1+1+1+1+1+1+1+1+1+1+1+1+1+1+1+1+1+1+1+1+1+1+1+1+1+1+1+1+1+1+1+1+1+1+1+1+1+1+1+1+1</f>
        <v>53</v>
      </c>
      <c r="F61" s="2">
        <f>1+1</f>
        <v>2</v>
      </c>
      <c r="G61" s="2">
        <f>1+1+1+1+1+1+1+1+1+1+1+1+1+1+1+1+1+1+1+1+1+1+1+1+1+1+1+1</f>
        <v>28</v>
      </c>
      <c r="H61" s="2">
        <v>0</v>
      </c>
      <c r="I61" s="36">
        <v>0</v>
      </c>
      <c r="J61" s="41">
        <f t="shared" si="0"/>
        <v>83</v>
      </c>
    </row>
    <row r="62" spans="1:10" x14ac:dyDescent="0.25">
      <c r="A62" s="14" t="s">
        <v>63</v>
      </c>
      <c r="B62" s="23" t="s">
        <v>111</v>
      </c>
      <c r="C62" s="23" t="s">
        <v>115</v>
      </c>
      <c r="D62" s="23" t="s">
        <v>120</v>
      </c>
      <c r="E62" s="8">
        <f>1+1+1+1+1+1+1+1+1+1+1+1+1+1+1+1+1+1+1+1+1+1+1+1+1+1+1+1+1+1+1+1+1+1+1+1+1+1+1+1+1+1+1+1+1+1</f>
        <v>46</v>
      </c>
      <c r="F62" s="2">
        <f>1+1</f>
        <v>2</v>
      </c>
      <c r="G62" s="2">
        <f>1+1+1+1+1+1+1+1+1+1+1+1+1+1+1+1+1+1+1+1+1</f>
        <v>21</v>
      </c>
      <c r="H62" s="2">
        <v>0</v>
      </c>
      <c r="I62" s="36">
        <v>0</v>
      </c>
      <c r="J62" s="41">
        <f t="shared" si="0"/>
        <v>69</v>
      </c>
    </row>
    <row r="63" spans="1:10" x14ac:dyDescent="0.25">
      <c r="A63" s="14" t="s">
        <v>64</v>
      </c>
      <c r="B63" s="23" t="s">
        <v>111</v>
      </c>
      <c r="C63" s="23" t="s">
        <v>115</v>
      </c>
      <c r="D63" s="23" t="s">
        <v>120</v>
      </c>
      <c r="E63" s="8">
        <f>1+1+1+1+1+1+1+1+1+1+1+1+1+1+1+1+1+1+1+1+1+1+1+1+1+1+1+1+1+1+1+1+1+1+1+1+1+1+1+1+1+1+1+1+1+1+1+1+1+1+1+1</f>
        <v>52</v>
      </c>
      <c r="F63" s="2">
        <f>1+1+1</f>
        <v>3</v>
      </c>
      <c r="G63" s="2">
        <f>1+1+1+1+1+1+1+1+1+1+1+1+1+1+1+1+1+1+1+1+1+1+1</f>
        <v>23</v>
      </c>
      <c r="H63" s="2">
        <v>0</v>
      </c>
      <c r="I63" s="36">
        <v>0</v>
      </c>
      <c r="J63" s="41">
        <f t="shared" si="0"/>
        <v>78</v>
      </c>
    </row>
    <row r="64" spans="1:10" x14ac:dyDescent="0.25">
      <c r="A64" s="14" t="s">
        <v>65</v>
      </c>
      <c r="B64" s="23" t="s">
        <v>111</v>
      </c>
      <c r="C64" s="23" t="s">
        <v>115</v>
      </c>
      <c r="D64" s="23" t="s">
        <v>120</v>
      </c>
      <c r="E64" s="8">
        <f>1+1+1+1+1+1+1+1+1+1+1+1+1+1+1+1+1+1+1+1+1+1+1+1+1+1+1+1+1+1+1+1+1+1+1+1+1+1+1+1+1+1+1+1+1+1+1+1+1+1+1+1+1+1+1+1+1+1+1</f>
        <v>59</v>
      </c>
      <c r="F64" s="2">
        <f>1+1+1+1</f>
        <v>4</v>
      </c>
      <c r="G64" s="2">
        <f>1+1+1+1+1+1+1+1+1+1+1+1+1+1+1+1+1+1+1+1+1+1+1+1+1+1+1+1+1+1</f>
        <v>30</v>
      </c>
      <c r="H64" s="2">
        <v>0</v>
      </c>
      <c r="I64" s="36">
        <v>0</v>
      </c>
      <c r="J64" s="41">
        <f t="shared" si="0"/>
        <v>93</v>
      </c>
    </row>
    <row r="65" spans="1:10" x14ac:dyDescent="0.25">
      <c r="A65" s="25" t="s">
        <v>66</v>
      </c>
      <c r="B65" s="26" t="s">
        <v>111</v>
      </c>
      <c r="C65" s="26" t="s">
        <v>115</v>
      </c>
      <c r="D65" s="26" t="s">
        <v>120</v>
      </c>
      <c r="E65" s="30">
        <v>1</v>
      </c>
      <c r="F65" s="31">
        <f>1+1+1+1+1+1+1+1+1+1+1+1+1+1+1+1+1+1+1+1+1+1+1+1+1+1+1+1+1+1+1+1+1+1+1+1+1+1+1+1+1+1+1+1+1+1+1+1+1</f>
        <v>49</v>
      </c>
      <c r="G65" s="31">
        <f>1+1+1+1+1+1+1+1+1+1+1+1+1+1+1+1+1+1+1+1+1+1+1+1+1+1+1+1+1+1+1+1+1+1+1+1+1+1+1+1+1+1+1+1+1+1+1+1+1+1+1+1+1+1+1+1+1+1+1+1+1+1</f>
        <v>62</v>
      </c>
      <c r="H65" s="31">
        <f>1+1</f>
        <v>2</v>
      </c>
      <c r="I65" s="37">
        <v>0</v>
      </c>
      <c r="J65" s="42">
        <f t="shared" si="0"/>
        <v>114</v>
      </c>
    </row>
    <row r="66" spans="1:10" x14ac:dyDescent="0.25">
      <c r="A66" s="25" t="s">
        <v>67</v>
      </c>
      <c r="B66" s="26" t="s">
        <v>111</v>
      </c>
      <c r="C66" s="26" t="s">
        <v>115</v>
      </c>
      <c r="D66" s="26" t="s">
        <v>120</v>
      </c>
      <c r="E66" s="30">
        <v>1</v>
      </c>
      <c r="F66" s="31">
        <f>1+1+1+1+1+1+1+1+1+1+1+1+1+1+1+1+1+1+1+1+1+1+1+1+1+1+1+1+1+1+1+1+1+1+1+1+1+1+1+1+1+1+1+1+1+1+1+1+1</f>
        <v>49</v>
      </c>
      <c r="G66" s="31">
        <f>1+1+1+1+1+1+1+1+1+1+1+1+1+1+1+1+1+1+1+1+1+1+1 +1+1+1+1+1+1+1+1+1+1+1+1+1+1+1+1+1+1+1+1+1+1+1+1+1+1+1+1+1+1+1+1+1+1+1+1+1</f>
        <v>60</v>
      </c>
      <c r="H66" s="31">
        <f>1+1+1</f>
        <v>3</v>
      </c>
      <c r="I66" s="37">
        <v>0</v>
      </c>
      <c r="J66" s="42">
        <f t="shared" si="0"/>
        <v>113</v>
      </c>
    </row>
    <row r="67" spans="1:10" x14ac:dyDescent="0.25">
      <c r="A67" s="25" t="s">
        <v>68</v>
      </c>
      <c r="B67" s="26" t="s">
        <v>111</v>
      </c>
      <c r="C67" s="26" t="s">
        <v>115</v>
      </c>
      <c r="D67" s="26" t="s">
        <v>120</v>
      </c>
      <c r="E67" s="30">
        <v>0</v>
      </c>
      <c r="F67" s="31">
        <f>1+1+1+1+1+1+1+1+1+1+1+1+1+1+1+1+1+1+1+1+1+1+1+1+1+1+1+1+1+1+1+1+1+1+1+1+1+1+1+1+1+1+1+1+1</f>
        <v>45</v>
      </c>
      <c r="G67" s="31">
        <f>1+1+1+1+1+1+1+1+1+1+1+1+1+1+1+1+1+1+1+1+1+1+1+1+1+1+1+1+1+1+1+1+1+1+1+1+1+1+1+1+1+1+1+1+1+1+1+1+1+1+1+1+1+1+1+1+1+1+1+1+1+1</f>
        <v>62</v>
      </c>
      <c r="H67" s="31">
        <v>0</v>
      </c>
      <c r="I67" s="37">
        <v>0</v>
      </c>
      <c r="J67" s="42">
        <f t="shared" ref="J67:J108" si="1">E67+F67+G67+H67+I67</f>
        <v>107</v>
      </c>
    </row>
    <row r="68" spans="1:10" x14ac:dyDescent="0.25">
      <c r="A68" s="25" t="s">
        <v>69</v>
      </c>
      <c r="B68" s="26" t="s">
        <v>111</v>
      </c>
      <c r="C68" s="26" t="s">
        <v>115</v>
      </c>
      <c r="D68" s="26" t="s">
        <v>120</v>
      </c>
      <c r="E68" s="30">
        <v>0</v>
      </c>
      <c r="F68" s="31">
        <f>1+1+1+1+1+1+1+1+1+1+1+1+1+1+1+1+1+1+1+1+1+1+1+1+1+1+1+1+1+1+1+1+1+1+1+1+1+1+1+1+1</f>
        <v>41</v>
      </c>
      <c r="G68" s="31">
        <f>1+1+1+1+1+1+1+1+1+1+1+1+1+1+1+1+1+1+1+1+1+1+1 +1+1+1+1+1+1+1+1+1+1+1+1+1+1+1+1+1+1+1+1+1+1+1+1+1+1+1+1+1+1+1+1+1+1+1+1+1+1</f>
        <v>61</v>
      </c>
      <c r="H68" s="31">
        <v>0</v>
      </c>
      <c r="I68" s="37">
        <v>0</v>
      </c>
      <c r="J68" s="42">
        <f t="shared" si="1"/>
        <v>102</v>
      </c>
    </row>
    <row r="69" spans="1:10" x14ac:dyDescent="0.25">
      <c r="A69" s="25" t="s">
        <v>70</v>
      </c>
      <c r="B69" s="26" t="s">
        <v>111</v>
      </c>
      <c r="C69" s="26" t="s">
        <v>115</v>
      </c>
      <c r="D69" s="26" t="s">
        <v>120</v>
      </c>
      <c r="E69" s="30">
        <v>0</v>
      </c>
      <c r="F69" s="31">
        <f>1+1+1+1+1+1+1+1+1+1+1+1+1+1+1+1+1+1+1+1+1+1+1+1+1+1+1+1+1+1+1+1+1+1+1+1+1+1+1+1+1+1+1+1</f>
        <v>44</v>
      </c>
      <c r="G69" s="31">
        <f>1+1+1+1+1+1+1+1+1+1+1+1+1+1+1+1+1+1+1+1+1+1+1 +1+1+1+1+1+1+1+1+1+1+1+1+1+1+1+1+1+1+1+1+1+1+1+1+1+1+1+1+1+1+1+1+1+1+1+1+1+1</f>
        <v>61</v>
      </c>
      <c r="H69" s="31">
        <v>0</v>
      </c>
      <c r="I69" s="37">
        <v>0</v>
      </c>
      <c r="J69" s="42">
        <f t="shared" si="1"/>
        <v>105</v>
      </c>
    </row>
    <row r="70" spans="1:10" x14ac:dyDescent="0.25">
      <c r="A70" s="14" t="s">
        <v>71</v>
      </c>
      <c r="B70" s="23" t="s">
        <v>111</v>
      </c>
      <c r="C70" s="23" t="s">
        <v>115</v>
      </c>
      <c r="D70" s="23" t="s">
        <v>120</v>
      </c>
      <c r="E70" s="8">
        <v>0</v>
      </c>
      <c r="F70" s="2">
        <f>1+1+1+1+1+1+1+1+1+1+1+1+1+1+1</f>
        <v>15</v>
      </c>
      <c r="G70" s="2">
        <f>1+1+1+1+1+1+1+1+1+1+1+1+1+1+1+1+1+1+1+1+1+1+1+1+1+1+1+1+1+1+1+1+1+1+1+1+1+1+1+1+1+1+1+1+1</f>
        <v>45</v>
      </c>
      <c r="H70" s="2">
        <v>0</v>
      </c>
      <c r="I70" s="36">
        <v>0</v>
      </c>
      <c r="J70" s="41">
        <f t="shared" si="1"/>
        <v>60</v>
      </c>
    </row>
    <row r="71" spans="1:10" x14ac:dyDescent="0.25">
      <c r="A71" s="14" t="s">
        <v>72</v>
      </c>
      <c r="B71" s="23" t="s">
        <v>111</v>
      </c>
      <c r="C71" s="23" t="s">
        <v>115</v>
      </c>
      <c r="D71" s="23" t="s">
        <v>120</v>
      </c>
      <c r="E71" s="8">
        <v>0</v>
      </c>
      <c r="F71" s="2">
        <f>1+1+1+1+1+1+1</f>
        <v>7</v>
      </c>
      <c r="G71" s="2">
        <f>1+1+1+1+ 1+1+1+1+1+1+1+1+1+1+1+1+1</f>
        <v>17</v>
      </c>
      <c r="H71" s="2">
        <v>0</v>
      </c>
      <c r="I71" s="36">
        <v>0</v>
      </c>
      <c r="J71" s="41">
        <f t="shared" si="1"/>
        <v>24</v>
      </c>
    </row>
    <row r="72" spans="1:10" x14ac:dyDescent="0.25">
      <c r="A72" s="14" t="s">
        <v>73</v>
      </c>
      <c r="B72" s="23" t="s">
        <v>111</v>
      </c>
      <c r="C72" s="23" t="s">
        <v>115</v>
      </c>
      <c r="D72" s="23" t="s">
        <v>120</v>
      </c>
      <c r="E72" s="8">
        <v>0</v>
      </c>
      <c r="F72" s="2">
        <f>1+1+1+1+1+1+1+1+1+1+1+1+1+1+1+1+1+1+1+1+1+1+1+1+1+1+1+1+1</f>
        <v>29</v>
      </c>
      <c r="G72" s="2">
        <f>1+1+1+1+1+1+1+1+1+1+1+1+1+1+1+1+1+1+1+1+1+1+1 +1+1+1+1+1+1+1+1+1+1+1+1+1+1+1+1+1+1+1+1+1+1+1+1+1+1+1+1+1+1+1+1+1+1+1+1+1+1</f>
        <v>61</v>
      </c>
      <c r="H72" s="2">
        <v>0</v>
      </c>
      <c r="I72" s="36">
        <v>0</v>
      </c>
      <c r="J72" s="41">
        <f t="shared" si="1"/>
        <v>90</v>
      </c>
    </row>
    <row r="73" spans="1:10" x14ac:dyDescent="0.25">
      <c r="A73" s="14" t="s">
        <v>74</v>
      </c>
      <c r="B73" s="23" t="s">
        <v>111</v>
      </c>
      <c r="C73" s="23" t="s">
        <v>115</v>
      </c>
      <c r="D73" s="23" t="s">
        <v>120</v>
      </c>
      <c r="E73" s="8">
        <v>0</v>
      </c>
      <c r="F73" s="2">
        <v>0</v>
      </c>
      <c r="G73" s="2">
        <v>1</v>
      </c>
      <c r="H73" s="2">
        <v>0</v>
      </c>
      <c r="I73" s="36">
        <v>0</v>
      </c>
      <c r="J73" s="41">
        <f t="shared" si="1"/>
        <v>1</v>
      </c>
    </row>
    <row r="74" spans="1:10" x14ac:dyDescent="0.25">
      <c r="A74" s="14" t="s">
        <v>75</v>
      </c>
      <c r="B74" s="23" t="s">
        <v>111</v>
      </c>
      <c r="C74" s="23" t="s">
        <v>115</v>
      </c>
      <c r="D74" s="23" t="s">
        <v>120</v>
      </c>
      <c r="E74" s="8">
        <v>0</v>
      </c>
      <c r="F74" s="2">
        <v>0</v>
      </c>
      <c r="G74" s="2">
        <f>1+1+1</f>
        <v>3</v>
      </c>
      <c r="H74" s="2">
        <v>0</v>
      </c>
      <c r="I74" s="36">
        <v>0</v>
      </c>
      <c r="J74" s="41">
        <f t="shared" si="1"/>
        <v>3</v>
      </c>
    </row>
    <row r="75" spans="1:10" x14ac:dyDescent="0.25">
      <c r="A75" s="14" t="s">
        <v>76</v>
      </c>
      <c r="B75" s="23" t="s">
        <v>111</v>
      </c>
      <c r="C75" s="23" t="s">
        <v>115</v>
      </c>
      <c r="D75" s="23" t="s">
        <v>120</v>
      </c>
      <c r="E75" s="8">
        <v>0</v>
      </c>
      <c r="F75" s="2">
        <f>1+1+1+1+1+1+1+1+1+1+1+1+1+1</f>
        <v>14</v>
      </c>
      <c r="G75" s="2">
        <f>1+1+1+1+1+1+1+1+1+1+1+1+1+1+1+1+1+1+1+1+1+1+1 +1+1+1+1+1+1+1+1+1+1+1+1+1+1+1+1+1+1+1+1+1+1+1+1+1+1+1+1+1+1+1+1</f>
        <v>55</v>
      </c>
      <c r="H75" s="2">
        <v>0</v>
      </c>
      <c r="I75" s="36">
        <v>0</v>
      </c>
      <c r="J75" s="41">
        <f t="shared" si="1"/>
        <v>69</v>
      </c>
    </row>
    <row r="76" spans="1:10" x14ac:dyDescent="0.25">
      <c r="A76" s="14" t="s">
        <v>77</v>
      </c>
      <c r="B76" s="23" t="s">
        <v>111</v>
      </c>
      <c r="C76" s="23" t="s">
        <v>115</v>
      </c>
      <c r="D76" s="23" t="s">
        <v>120</v>
      </c>
      <c r="E76" s="8">
        <v>0</v>
      </c>
      <c r="F76" s="2">
        <v>0</v>
      </c>
      <c r="G76" s="2">
        <v>0</v>
      </c>
      <c r="H76" s="2">
        <v>0</v>
      </c>
      <c r="I76" s="36">
        <v>0</v>
      </c>
      <c r="J76" s="41">
        <f t="shared" si="1"/>
        <v>0</v>
      </c>
    </row>
    <row r="77" spans="1:10" x14ac:dyDescent="0.25">
      <c r="A77" s="14" t="s">
        <v>78</v>
      </c>
      <c r="B77" s="23" t="s">
        <v>112</v>
      </c>
      <c r="C77" s="23" t="s">
        <v>115</v>
      </c>
      <c r="D77" s="23" t="s">
        <v>119</v>
      </c>
      <c r="E77" s="8">
        <f>1+1+ 1</f>
        <v>3</v>
      </c>
      <c r="F77" s="2">
        <v>0</v>
      </c>
      <c r="G77" s="2">
        <v>0</v>
      </c>
      <c r="H77" s="2">
        <v>0</v>
      </c>
      <c r="I77" s="36">
        <v>1</v>
      </c>
      <c r="J77" s="41">
        <f t="shared" si="1"/>
        <v>4</v>
      </c>
    </row>
    <row r="78" spans="1:10" x14ac:dyDescent="0.25">
      <c r="A78" s="14" t="s">
        <v>79</v>
      </c>
      <c r="B78" s="23" t="s">
        <v>112</v>
      </c>
      <c r="C78" s="23" t="s">
        <v>116</v>
      </c>
      <c r="D78" s="23" t="s">
        <v>120</v>
      </c>
      <c r="E78" s="8">
        <v>0</v>
      </c>
      <c r="F78" s="2">
        <v>0</v>
      </c>
      <c r="G78" s="2">
        <v>0</v>
      </c>
      <c r="H78" s="2">
        <v>0</v>
      </c>
      <c r="I78" s="36">
        <v>0</v>
      </c>
      <c r="J78" s="41">
        <f t="shared" si="1"/>
        <v>0</v>
      </c>
    </row>
    <row r="79" spans="1:10" x14ac:dyDescent="0.25">
      <c r="A79" s="25" t="s">
        <v>80</v>
      </c>
      <c r="B79" s="26" t="s">
        <v>112</v>
      </c>
      <c r="C79" s="26" t="s">
        <v>115</v>
      </c>
      <c r="D79" s="26" t="s">
        <v>120</v>
      </c>
      <c r="E79" s="30">
        <f>1+1+1+1+1+1+1+1+1+1+1+1+1+1+1+1+1+1+1+1+1+1+1+1+1+1+1+1+1+1+1+1+1+1+1+1+1+1+1+1+ 1+1+1+1+1+1+1+1+1+1+1+1+ 1+1+1+1+1+1+1+1+1+1+1+1</f>
        <v>64</v>
      </c>
      <c r="F79" s="31">
        <f>1+1+1+1+1+1+1+1+1+1+1+1+1+1+1+1+1+1+1+1+1+1+1+1+1+1+1+1+1+1+1+1+1+1+1+1+1+1+1+1+1+1+1+1+1+1+1</f>
        <v>47</v>
      </c>
      <c r="G79" s="31">
        <f>1+1+1+1+1+1+1+1+1+1+1+1+1+1+1+1+1+1+1+1+1+1+1+1+1+1+1+1+1+1+1+1+1+1+1+1+1+1+1+1</f>
        <v>40</v>
      </c>
      <c r="H79" s="31">
        <v>1</v>
      </c>
      <c r="I79" s="37">
        <v>1</v>
      </c>
      <c r="J79" s="42">
        <f t="shared" si="1"/>
        <v>153</v>
      </c>
    </row>
    <row r="80" spans="1:10" x14ac:dyDescent="0.25">
      <c r="A80" s="25" t="s">
        <v>81</v>
      </c>
      <c r="B80" s="26" t="s">
        <v>112</v>
      </c>
      <c r="C80" s="26" t="s">
        <v>115</v>
      </c>
      <c r="D80" s="26" t="s">
        <v>120</v>
      </c>
      <c r="E80" s="30">
        <f>1+1+1+1+1+1+1+1+1+1+1+1+1+1+1+1+1+1+1+1+1+1+1+1+1+1+1+1+1+1+1+1+1+1+1+1+1+1+1+1+1+1+1+1+1+1+1+1+1+1+1+1+1+1+1+1+1+1+1+1+1+1</f>
        <v>62</v>
      </c>
      <c r="F80" s="31">
        <f>1+1+1+1+1+1+1+1+1+1+1+1+1+1+1+1+1+1+1+1+1+1+1+1+1+1+1+1+1+1+1+1+1+1+1+1+1+1+1+1+1+1+1+1+1</f>
        <v>45</v>
      </c>
      <c r="G80" s="31">
        <f>1+1+1+1+1+1+1+1+1+1+1+1+1+1+1+1+1+1+1+1+1+1+1+1+1+1+1+1+1+1+1+1+1</f>
        <v>33</v>
      </c>
      <c r="H80" s="31">
        <v>1</v>
      </c>
      <c r="I80" s="37">
        <v>1</v>
      </c>
      <c r="J80" s="42">
        <f t="shared" si="1"/>
        <v>142</v>
      </c>
    </row>
    <row r="81" spans="1:10" x14ac:dyDescent="0.25">
      <c r="A81" s="14" t="s">
        <v>82</v>
      </c>
      <c r="B81" s="23" t="s">
        <v>112</v>
      </c>
      <c r="C81" s="23" t="s">
        <v>115</v>
      </c>
      <c r="D81" s="23" t="s">
        <v>120</v>
      </c>
      <c r="E81" s="8">
        <f>1</f>
        <v>1</v>
      </c>
      <c r="F81" s="2">
        <v>0</v>
      </c>
      <c r="G81" s="2">
        <f>1+1+1+1+1+1+1+1+1+1+1+ 1</f>
        <v>12</v>
      </c>
      <c r="H81" s="2">
        <v>0</v>
      </c>
      <c r="I81" s="36">
        <v>0</v>
      </c>
      <c r="J81" s="41">
        <f t="shared" si="1"/>
        <v>13</v>
      </c>
    </row>
    <row r="82" spans="1:10" x14ac:dyDescent="0.25">
      <c r="A82" s="14" t="s">
        <v>83</v>
      </c>
      <c r="B82" s="23" t="s">
        <v>112</v>
      </c>
      <c r="C82" s="23" t="s">
        <v>117</v>
      </c>
      <c r="D82" s="23" t="s">
        <v>120</v>
      </c>
      <c r="E82" s="8">
        <v>0</v>
      </c>
      <c r="F82" s="2">
        <v>0</v>
      </c>
      <c r="G82" s="2">
        <v>0</v>
      </c>
      <c r="H82" s="2">
        <v>0</v>
      </c>
      <c r="I82" s="36">
        <v>0</v>
      </c>
      <c r="J82" s="41">
        <f t="shared" si="1"/>
        <v>0</v>
      </c>
    </row>
    <row r="83" spans="1:10" x14ac:dyDescent="0.25">
      <c r="A83" s="14" t="s">
        <v>84</v>
      </c>
      <c r="B83" s="23" t="s">
        <v>112</v>
      </c>
      <c r="C83" s="23" t="s">
        <v>115</v>
      </c>
      <c r="D83" s="23" t="s">
        <v>120</v>
      </c>
      <c r="E83" s="8">
        <f>1+1+1+1+1+1+1+1+1</f>
        <v>9</v>
      </c>
      <c r="F83" s="2">
        <v>1</v>
      </c>
      <c r="G83" s="2">
        <f>1+1+1+1+1+1+1+1+1+1</f>
        <v>10</v>
      </c>
      <c r="H83" s="2">
        <v>0</v>
      </c>
      <c r="I83" s="36">
        <v>0</v>
      </c>
      <c r="J83" s="41">
        <f t="shared" si="1"/>
        <v>20</v>
      </c>
    </row>
    <row r="84" spans="1:10" x14ac:dyDescent="0.25">
      <c r="A84" s="14" t="s">
        <v>85</v>
      </c>
      <c r="B84" s="23" t="s">
        <v>112</v>
      </c>
      <c r="C84" s="23" t="s">
        <v>115</v>
      </c>
      <c r="D84" s="23" t="s">
        <v>120</v>
      </c>
      <c r="E84" s="8">
        <v>1</v>
      </c>
      <c r="F84" s="2">
        <v>0</v>
      </c>
      <c r="G84" s="2">
        <f>1+1+ 1</f>
        <v>3</v>
      </c>
      <c r="H84" s="2">
        <v>0</v>
      </c>
      <c r="I84" s="36">
        <v>0</v>
      </c>
      <c r="J84" s="41">
        <f t="shared" si="1"/>
        <v>4</v>
      </c>
    </row>
    <row r="85" spans="1:10" x14ac:dyDescent="0.25">
      <c r="A85" s="14" t="s">
        <v>86</v>
      </c>
      <c r="B85" s="23" t="s">
        <v>112</v>
      </c>
      <c r="C85" s="23" t="s">
        <v>115</v>
      </c>
      <c r="D85" s="23" t="s">
        <v>120</v>
      </c>
      <c r="E85" s="8">
        <f>1+1+ 1</f>
        <v>3</v>
      </c>
      <c r="F85" s="2">
        <f>1+1+ 1</f>
        <v>3</v>
      </c>
      <c r="G85" s="2">
        <f>1+1+1+1+1+1+1+1+1+1+1+1+1+1+1+1+1+1+1+1+1+1+1</f>
        <v>23</v>
      </c>
      <c r="H85" s="2">
        <v>0</v>
      </c>
      <c r="I85" s="36">
        <v>0</v>
      </c>
      <c r="J85" s="41">
        <f t="shared" si="1"/>
        <v>29</v>
      </c>
    </row>
    <row r="86" spans="1:10" x14ac:dyDescent="0.25">
      <c r="A86" s="14" t="s">
        <v>87</v>
      </c>
      <c r="B86" s="23" t="s">
        <v>112</v>
      </c>
      <c r="C86" s="23" t="s">
        <v>115</v>
      </c>
      <c r="D86" s="23" t="s">
        <v>120</v>
      </c>
      <c r="E86" s="8">
        <v>0</v>
      </c>
      <c r="F86" s="2">
        <f>1+1+1+1+1+1+1</f>
        <v>7</v>
      </c>
      <c r="G86" s="2">
        <f>1+1+1+1+1+1+1+1+1+1+1+1+1+1+1+1+1+1+1+1+1+1+1+1+1+1+1+1+1+1+1+1+1+1+1+1+1+1+1+1+1+1+1+1+1+1+1+1+1+1+1+1+1+1+1+1+1</f>
        <v>57</v>
      </c>
      <c r="H86" s="2">
        <v>0</v>
      </c>
      <c r="I86" s="36">
        <v>0</v>
      </c>
      <c r="J86" s="41">
        <f t="shared" si="1"/>
        <v>64</v>
      </c>
    </row>
    <row r="87" spans="1:10" x14ac:dyDescent="0.25">
      <c r="A87" s="14" t="s">
        <v>88</v>
      </c>
      <c r="B87" s="23" t="s">
        <v>112</v>
      </c>
      <c r="C87" s="23" t="s">
        <v>117</v>
      </c>
      <c r="D87" s="23" t="s">
        <v>120</v>
      </c>
      <c r="E87" s="8">
        <v>0</v>
      </c>
      <c r="F87" s="2">
        <v>0</v>
      </c>
      <c r="G87" s="2">
        <f>1+1+1+1+1</f>
        <v>5</v>
      </c>
      <c r="H87" s="2">
        <v>0</v>
      </c>
      <c r="I87" s="36">
        <v>0</v>
      </c>
      <c r="J87" s="41">
        <f t="shared" si="1"/>
        <v>5</v>
      </c>
    </row>
    <row r="88" spans="1:10" x14ac:dyDescent="0.25">
      <c r="A88" s="14" t="s">
        <v>89</v>
      </c>
      <c r="B88" s="23" t="s">
        <v>112</v>
      </c>
      <c r="C88" s="23" t="s">
        <v>115</v>
      </c>
      <c r="D88" s="23" t="s">
        <v>120</v>
      </c>
      <c r="E88" s="8">
        <v>0</v>
      </c>
      <c r="F88" s="2">
        <v>0</v>
      </c>
      <c r="G88" s="2">
        <f>1+1+1+1+1+1+1+1+1+1+1+ 1</f>
        <v>12</v>
      </c>
      <c r="H88" s="2">
        <v>0</v>
      </c>
      <c r="I88" s="36">
        <v>0</v>
      </c>
      <c r="J88" s="41">
        <f t="shared" si="1"/>
        <v>12</v>
      </c>
    </row>
    <row r="89" spans="1:10" x14ac:dyDescent="0.25">
      <c r="A89" s="25" t="s">
        <v>90</v>
      </c>
      <c r="B89" s="26" t="s">
        <v>112</v>
      </c>
      <c r="C89" s="26" t="s">
        <v>115</v>
      </c>
      <c r="D89" s="26" t="s">
        <v>120</v>
      </c>
      <c r="E89" s="30">
        <f>1+1+1+1+1+1+1+1+1+1+1+1+1+1+1+1+1+1+1+1+1+1+1+1+1+1+1+1+1+1+1+1+1+1+1+1+1+1+1</f>
        <v>39</v>
      </c>
      <c r="F89" s="31">
        <f>1+1+1+1+1+1+1+1+1+1+1+1+1+1+1+1+1+1+1+1+1+1+1+1</f>
        <v>24</v>
      </c>
      <c r="G89" s="31">
        <f>1+1+1+1+1+1+1+1+1+1+1+1+1+1+1+1+1+1+1+1+1+1+1+1+1+1+1+1+1+1+1+1+1+1+1+1+1+1+1+1+1+1+1+1+1+1+1+1+1+1+1+1
+1</f>
        <v>53</v>
      </c>
      <c r="H89" s="31">
        <f>1+1+1+1+1+1+1+1+1+1+1</f>
        <v>11</v>
      </c>
      <c r="I89" s="37">
        <v>0</v>
      </c>
      <c r="J89" s="42">
        <f t="shared" si="1"/>
        <v>127</v>
      </c>
    </row>
    <row r="90" spans="1:10" x14ac:dyDescent="0.25">
      <c r="A90" s="14" t="s">
        <v>91</v>
      </c>
      <c r="B90" s="23" t="s">
        <v>112</v>
      </c>
      <c r="C90" s="23" t="s">
        <v>115</v>
      </c>
      <c r="D90" s="23" t="s">
        <v>120</v>
      </c>
      <c r="E90" s="8">
        <f>1+1+1+1+1+1+1+1+1+1+1+1+1+1+1+1+1+1+1+1+1+1+1+1+1+1+1+1+1+1+1+1+1+1+1+1+1+1+1+1+1+1+1+1+1+1+1+1+1+1+1+1+1+1+1</f>
        <v>55</v>
      </c>
      <c r="F90" s="2">
        <f>1+1+ 1</f>
        <v>3</v>
      </c>
      <c r="G90" s="2">
        <v>1</v>
      </c>
      <c r="H90" s="2">
        <f>1+1+ 1</f>
        <v>3</v>
      </c>
      <c r="I90" s="36">
        <v>0</v>
      </c>
      <c r="J90" s="41">
        <f t="shared" si="1"/>
        <v>62</v>
      </c>
    </row>
    <row r="91" spans="1:10" x14ac:dyDescent="0.25">
      <c r="A91" s="25" t="s">
        <v>92</v>
      </c>
      <c r="B91" s="26" t="s">
        <v>112</v>
      </c>
      <c r="C91" s="26" t="s">
        <v>115</v>
      </c>
      <c r="D91" s="26" t="s">
        <v>120</v>
      </c>
      <c r="E91" s="30">
        <f>1+1+1+1+1+1+1+1+1+1+1+1+1+1+1+1+1+1+1+1+1+1+1+1+1+1+1+1+1+1+1+1+1+1+1+1+1+1+1+1+1+1+1+1+1+1+1+1+1
+1+1+1+1+1+1+1+1+1+1+1+1</f>
        <v>61</v>
      </c>
      <c r="F91" s="31">
        <f>1+1+1+1+1+1+1+1+1+1+1+1+1+1+1+1+1+1+1+1+1+1+1+1+1+1+1+1+1+1+1+1+1+1+1+1+1+1+1+1+1+1+1+1+1</f>
        <v>45</v>
      </c>
      <c r="G91" s="31">
        <f>1+1+1+1+1+1+1+1+1+1+1+1+1+1+1+1+1+1+1+1+1+1+1+1+1+1+1+1+1+1+1+1+1+1+1+1+1+1+1+1+1+1+1+1+1</f>
        <v>45</v>
      </c>
      <c r="H91" s="31">
        <f>1+1</f>
        <v>2</v>
      </c>
      <c r="I91" s="37">
        <v>0</v>
      </c>
      <c r="J91" s="42">
        <f t="shared" si="1"/>
        <v>153</v>
      </c>
    </row>
    <row r="92" spans="1:10" x14ac:dyDescent="0.25">
      <c r="A92" s="25" t="s">
        <v>93</v>
      </c>
      <c r="B92" s="26" t="s">
        <v>112</v>
      </c>
      <c r="C92" s="26" t="s">
        <v>115</v>
      </c>
      <c r="D92" s="26" t="s">
        <v>120</v>
      </c>
      <c r="E92" s="30">
        <f>1+1+1+1+1+1+1+1+1+1+1+1+1+1+1+1+1+1+1+1+1+1+1+1+1+1+1+1+1+1+1+1+1+1+1+1+1+1+1+1+1+1+1+1+1+1+1+1+1+1+1+1+1+1+1+1+1+1+1+1+1+1+1</f>
        <v>63</v>
      </c>
      <c r="F92" s="31">
        <f>1+1+1+1+1+1+1+1+1+1+1+1+1+1+1+1+1+1+1+1+1+1+1+1+1+1+1+1+1+1+1+1+1+1+1+1+1+1+1+1+1+1+1+1+1+1+1+1+1+1+1+1</f>
        <v>52</v>
      </c>
      <c r="G92" s="31">
        <f>1+1+1+1+1+1+1+1+1+1+1+1+1+1+1+1+1+1+1+1+1+1+1+1+1+1+1+1+1+1+1+1+1+1+1+1+1+1+1+1+1+1+1</f>
        <v>43</v>
      </c>
      <c r="H92" s="31">
        <v>0</v>
      </c>
      <c r="I92" s="37">
        <v>0</v>
      </c>
      <c r="J92" s="42">
        <f t="shared" si="1"/>
        <v>158</v>
      </c>
    </row>
    <row r="93" spans="1:10" x14ac:dyDescent="0.25">
      <c r="A93" s="25" t="s">
        <v>94</v>
      </c>
      <c r="B93" s="26" t="s">
        <v>112</v>
      </c>
      <c r="C93" s="26" t="s">
        <v>115</v>
      </c>
      <c r="D93" s="26" t="s">
        <v>120</v>
      </c>
      <c r="E93" s="30">
        <f>1+1+1+1+1+1+1+1+1+1+1+1+1+1+1+1+1+1+1+1+1+1+1+1+1+1+1+1+1+1
+1+1+1+1+1+1+1+1+1+1+1+1+1+1+1+1+1+1+1+1+1+1+1+1</f>
        <v>54</v>
      </c>
      <c r="F93" s="31">
        <f>1+1+1+1+1+1+1+1+1+1+1+1+1+1+1+1+1+1+1+1+1+1+1+1+1+1+1+1+1+1+1+1+1+1+1+1+1+1+1+1+1+1</f>
        <v>42</v>
      </c>
      <c r="G93" s="31">
        <f>1+1+1+1+1+1+1+1+1+1+1+1+1+1+1+1+1+1+1+1+1+1+1+1+1+1+1+1+1+1+1+1+1+1+1</f>
        <v>35</v>
      </c>
      <c r="H93" s="31">
        <v>0</v>
      </c>
      <c r="I93" s="37">
        <v>0</v>
      </c>
      <c r="J93" s="42">
        <f t="shared" si="1"/>
        <v>131</v>
      </c>
    </row>
    <row r="94" spans="1:10" x14ac:dyDescent="0.25">
      <c r="A94" s="14" t="s">
        <v>95</v>
      </c>
      <c r="B94" s="23" t="s">
        <v>112</v>
      </c>
      <c r="C94" s="23" t="s">
        <v>116</v>
      </c>
      <c r="D94" s="23" t="s">
        <v>119</v>
      </c>
      <c r="E94" s="8">
        <f>1+1+ 1</f>
        <v>3</v>
      </c>
      <c r="F94" s="2">
        <f>1+1+1+1</f>
        <v>4</v>
      </c>
      <c r="G94" s="2">
        <f>1+1+1+1+1+1+1+1+1+1</f>
        <v>10</v>
      </c>
      <c r="H94" s="2">
        <f>1+1+1+1+1+1+1+1+1+1+1+1+1+1+1+1+1+1+1+1+1+1+1+1+1</f>
        <v>25</v>
      </c>
      <c r="I94" s="36">
        <v>0</v>
      </c>
      <c r="J94" s="41">
        <f t="shared" si="1"/>
        <v>42</v>
      </c>
    </row>
    <row r="95" spans="1:10" x14ac:dyDescent="0.25">
      <c r="A95" s="14" t="s">
        <v>96</v>
      </c>
      <c r="B95" s="23" t="s">
        <v>112</v>
      </c>
      <c r="C95" s="23" t="s">
        <v>115</v>
      </c>
      <c r="D95" s="23" t="s">
        <v>119</v>
      </c>
      <c r="E95" s="8">
        <f>1+1+1+1+1</f>
        <v>5</v>
      </c>
      <c r="F95" s="2">
        <v>0</v>
      </c>
      <c r="G95" s="2">
        <v>0</v>
      </c>
      <c r="H95" s="2">
        <v>0</v>
      </c>
      <c r="I95" s="36">
        <v>0</v>
      </c>
      <c r="J95" s="41">
        <f t="shared" si="1"/>
        <v>5</v>
      </c>
    </row>
    <row r="96" spans="1:10" x14ac:dyDescent="0.25">
      <c r="A96" s="14" t="s">
        <v>97</v>
      </c>
      <c r="B96" s="23" t="s">
        <v>112</v>
      </c>
      <c r="C96" s="23" t="s">
        <v>117</v>
      </c>
      <c r="D96" s="23" t="s">
        <v>119</v>
      </c>
      <c r="E96" s="8">
        <v>0</v>
      </c>
      <c r="F96" s="2">
        <v>0</v>
      </c>
      <c r="G96" s="2">
        <v>0</v>
      </c>
      <c r="H96" s="2">
        <v>0</v>
      </c>
      <c r="I96" s="36">
        <v>0</v>
      </c>
      <c r="J96" s="41">
        <f t="shared" si="1"/>
        <v>0</v>
      </c>
    </row>
    <row r="97" spans="1:10" x14ac:dyDescent="0.25">
      <c r="A97" s="14" t="s">
        <v>98</v>
      </c>
      <c r="B97" s="23" t="s">
        <v>112</v>
      </c>
      <c r="C97" s="23" t="s">
        <v>117</v>
      </c>
      <c r="D97" s="23" t="s">
        <v>119</v>
      </c>
      <c r="E97" s="8">
        <v>0</v>
      </c>
      <c r="F97" s="2">
        <f>1+1</f>
        <v>2</v>
      </c>
      <c r="G97" s="2">
        <v>0</v>
      </c>
      <c r="H97" s="2">
        <f>1+1+1+1+1+1</f>
        <v>6</v>
      </c>
      <c r="I97" s="36">
        <v>0</v>
      </c>
      <c r="J97" s="41">
        <f t="shared" si="1"/>
        <v>8</v>
      </c>
    </row>
    <row r="98" spans="1:10" x14ac:dyDescent="0.25">
      <c r="A98" s="14" t="s">
        <v>99</v>
      </c>
      <c r="B98" s="23" t="s">
        <v>112</v>
      </c>
      <c r="C98" s="23" t="s">
        <v>116</v>
      </c>
      <c r="D98" s="23" t="s">
        <v>119</v>
      </c>
      <c r="E98" s="8">
        <v>0</v>
      </c>
      <c r="F98" s="2">
        <v>0</v>
      </c>
      <c r="G98" s="2">
        <v>0</v>
      </c>
      <c r="H98" s="2">
        <f>1</f>
        <v>1</v>
      </c>
      <c r="I98" s="6">
        <v>0</v>
      </c>
      <c r="J98" s="41">
        <f t="shared" si="1"/>
        <v>1</v>
      </c>
    </row>
    <row r="99" spans="1:10" x14ac:dyDescent="0.25">
      <c r="A99" s="14" t="s">
        <v>100</v>
      </c>
      <c r="B99" s="23" t="s">
        <v>112</v>
      </c>
      <c r="C99" s="23" t="s">
        <v>115</v>
      </c>
      <c r="D99" s="23" t="s">
        <v>119</v>
      </c>
      <c r="E99" s="8">
        <v>0</v>
      </c>
      <c r="F99" s="2">
        <v>0</v>
      </c>
      <c r="G99" s="2">
        <v>0</v>
      </c>
      <c r="H99" s="2">
        <v>0</v>
      </c>
      <c r="I99" s="36">
        <v>0</v>
      </c>
      <c r="J99" s="41">
        <f t="shared" si="1"/>
        <v>0</v>
      </c>
    </row>
    <row r="100" spans="1:10" x14ac:dyDescent="0.25">
      <c r="A100" s="14" t="s">
        <v>101</v>
      </c>
      <c r="B100" s="23" t="s">
        <v>112</v>
      </c>
      <c r="C100" s="23" t="s">
        <v>116</v>
      </c>
      <c r="D100" s="23" t="s">
        <v>119</v>
      </c>
      <c r="E100" s="8">
        <v>0</v>
      </c>
      <c r="F100" s="2">
        <v>0</v>
      </c>
      <c r="G100" s="2">
        <v>1</v>
      </c>
      <c r="H100" s="2">
        <v>0</v>
      </c>
      <c r="I100" s="36">
        <f>1+1+1+1+1+1+1+1+1+1+1+ 1</f>
        <v>12</v>
      </c>
      <c r="J100" s="41">
        <f t="shared" si="1"/>
        <v>13</v>
      </c>
    </row>
    <row r="101" spans="1:10" x14ac:dyDescent="0.25">
      <c r="A101" s="14" t="s">
        <v>102</v>
      </c>
      <c r="B101" s="23" t="s">
        <v>112</v>
      </c>
      <c r="C101" s="23" t="s">
        <v>116</v>
      </c>
      <c r="D101" s="23" t="s">
        <v>120</v>
      </c>
      <c r="E101" s="8">
        <f>1+1+1+1</f>
        <v>4</v>
      </c>
      <c r="F101" s="2">
        <v>0</v>
      </c>
      <c r="G101" s="2">
        <f>1</f>
        <v>1</v>
      </c>
      <c r="H101" s="2">
        <f>1+1+ 1</f>
        <v>3</v>
      </c>
      <c r="I101" s="36">
        <v>0</v>
      </c>
      <c r="J101" s="41">
        <f t="shared" si="1"/>
        <v>8</v>
      </c>
    </row>
    <row r="102" spans="1:10" x14ac:dyDescent="0.25">
      <c r="A102" s="14" t="s">
        <v>103</v>
      </c>
      <c r="B102" s="23" t="s">
        <v>112</v>
      </c>
      <c r="C102" s="23" t="s">
        <v>116</v>
      </c>
      <c r="D102" s="23" t="s">
        <v>120</v>
      </c>
      <c r="E102" s="8">
        <v>0</v>
      </c>
      <c r="F102" s="2">
        <v>0</v>
      </c>
      <c r="G102" s="2">
        <v>0</v>
      </c>
      <c r="H102" s="2">
        <f>1+1+ 1</f>
        <v>3</v>
      </c>
      <c r="I102" s="36">
        <v>0</v>
      </c>
      <c r="J102" s="41">
        <f t="shared" si="1"/>
        <v>3</v>
      </c>
    </row>
    <row r="103" spans="1:10" x14ac:dyDescent="0.25">
      <c r="A103" s="25" t="s">
        <v>104</v>
      </c>
      <c r="B103" s="26" t="s">
        <v>112</v>
      </c>
      <c r="C103" s="26" t="s">
        <v>116</v>
      </c>
      <c r="D103" s="26" t="s">
        <v>120</v>
      </c>
      <c r="E103" s="30">
        <f>1+1+1+1+1+1+1+1+1+1+1+1+1+1+1+1+1+1+1+1+1+1+1+1+1+1+1+1+1+1+1+1+1+1+1+1+1+1+1+1+1+1+1+1+1+1+1+1+1+1+1+1
+1</f>
        <v>53</v>
      </c>
      <c r="F103" s="31">
        <f>1+1+1+1+1+1+1+1+1+1+1+1+1+1+1+1+1+1+1+1+1+1+1+1+1+1+1+1+1+1+1+1+1+1+1+1+1+1+1+1+1+1+1+1+1</f>
        <v>45</v>
      </c>
      <c r="G103" s="31">
        <f>1+1+1+1+1+1+1+1+1+1+1+1+1+1+1+1+1+1+1+1+1+1+1+1+1+1+1+1+1+1+1+1+1+1+1+1+1+1</f>
        <v>38</v>
      </c>
      <c r="H103" s="31">
        <f>1+1+1+1</f>
        <v>4</v>
      </c>
      <c r="I103" s="37">
        <v>0</v>
      </c>
      <c r="J103" s="42">
        <f t="shared" si="1"/>
        <v>140</v>
      </c>
    </row>
    <row r="104" spans="1:10" x14ac:dyDescent="0.25">
      <c r="A104" s="14" t="s">
        <v>105</v>
      </c>
      <c r="B104" s="23" t="s">
        <v>112</v>
      </c>
      <c r="C104" s="23" t="s">
        <v>117</v>
      </c>
      <c r="D104" s="23" t="s">
        <v>120</v>
      </c>
      <c r="E104" s="8">
        <f>1+1+1+1+1+1+1+1+1+1+1+1+1</f>
        <v>13</v>
      </c>
      <c r="F104" s="2">
        <f>1+1+1+1+1+1+1+1</f>
        <v>8</v>
      </c>
      <c r="G104" s="2">
        <f>1+1+1+1+1+1</f>
        <v>6</v>
      </c>
      <c r="H104" s="2">
        <v>0</v>
      </c>
      <c r="I104" s="36">
        <v>0</v>
      </c>
      <c r="J104" s="41">
        <f t="shared" si="1"/>
        <v>27</v>
      </c>
    </row>
    <row r="105" spans="1:10" x14ac:dyDescent="0.25">
      <c r="A105" s="25" t="s">
        <v>106</v>
      </c>
      <c r="B105" s="26" t="s">
        <v>112</v>
      </c>
      <c r="C105" s="26" t="s">
        <v>115</v>
      </c>
      <c r="D105" s="26" t="s">
        <v>120</v>
      </c>
      <c r="E105" s="30">
        <f>1+1+1+1+1+1+1+1+1+1+1+1+1+1+1+1+1+1+1+1+1+1+1+1+1+1+1+1+1+1+1+1+1+1+1+1+1+1+1+1+1+1+1+1+1+1+1+1+1+1+1+1+1+1+1+1+1+1+1+1+1+1</f>
        <v>62</v>
      </c>
      <c r="F105" s="31">
        <f>1+1+1+1+1+1+1+1+1+1+1+1+1+1+1+1+1+1+1+1+1+1+1+1+1+1+1+1+1+1+1+1+1+1+1+1+1+1+1+1+1+1+1+1+1+1+1+1+1+1+1+1+1+1+1+1+1</f>
        <v>57</v>
      </c>
      <c r="G105" s="31">
        <f>1+1+1+1+1+1+1+1+1+1+1+1+1+1+1+1+1
+1+1+1+1+1+1+1+1+1+1+1+1+1+1+1+1+1+1+1+1+1+1+1+1+1+1+1+1+1+1+1+1</f>
        <v>49</v>
      </c>
      <c r="H105" s="31">
        <f>1+1</f>
        <v>2</v>
      </c>
      <c r="I105" s="37">
        <v>0</v>
      </c>
      <c r="J105" s="42">
        <f t="shared" si="1"/>
        <v>170</v>
      </c>
    </row>
    <row r="106" spans="1:10" x14ac:dyDescent="0.25">
      <c r="A106" s="25" t="s">
        <v>49</v>
      </c>
      <c r="B106" s="26" t="s">
        <v>112</v>
      </c>
      <c r="C106" s="26" t="s">
        <v>117</v>
      </c>
      <c r="D106" s="26" t="s">
        <v>120</v>
      </c>
      <c r="E106" s="30">
        <f>1+1+1+1+1+1+1+1+1+1+1+1+1+1+1+1+1+1+1+1+1+1+1+1+1+1+1+1+1+1+1+1+1+1+1+1+1
+1+1+1+1+1+1+1+1+1+1+1+1+1+1+1+1+1+1+1+1+1+1+1</f>
        <v>60</v>
      </c>
      <c r="F106" s="31">
        <f>1+1+1+1+1+1+1+1+1+1+1+1+1+1+1+1+1+1+1+1+1+1+1+1+1+1+1+1+1+1
+1+1+1+1+1+1+1+1+1+1+1+1+1+1+1+1+1+1+1+1+1+1+1+1</f>
        <v>54</v>
      </c>
      <c r="G106" s="31">
        <f>1+1+1+1+1+1+1+1+1+1+1+1+1+1+1+1+1+1+1+1+1+1+1+1+1+1+1+1+1+1+1+1+1+1+1+1+1+1+1+1+1+1+1+1+1+1</f>
        <v>46</v>
      </c>
      <c r="H106" s="31">
        <v>1</v>
      </c>
      <c r="I106" s="37">
        <v>0</v>
      </c>
      <c r="J106" s="42">
        <f t="shared" si="1"/>
        <v>161</v>
      </c>
    </row>
    <row r="107" spans="1:10" x14ac:dyDescent="0.25">
      <c r="A107" s="14" t="s">
        <v>107</v>
      </c>
      <c r="B107" s="23" t="s">
        <v>112</v>
      </c>
      <c r="C107" s="23" t="s">
        <v>117</v>
      </c>
      <c r="D107" s="23" t="s">
        <v>120</v>
      </c>
      <c r="E107" s="8">
        <f>1+1+1+1+1+1+1+1+1+1+ 1+1+1+1+1+1+1+1+1</f>
        <v>19</v>
      </c>
      <c r="F107" s="2">
        <f>1+1+1+1+1+1+1+1+1+1+1+ 1</f>
        <v>12</v>
      </c>
      <c r="G107" s="2">
        <f>1+1+1+1+1+1+1+1</f>
        <v>8</v>
      </c>
      <c r="H107" s="2">
        <v>0</v>
      </c>
      <c r="I107" s="36">
        <v>0</v>
      </c>
      <c r="J107" s="41">
        <f t="shared" si="1"/>
        <v>39</v>
      </c>
    </row>
    <row r="108" spans="1:10" x14ac:dyDescent="0.25">
      <c r="A108" s="14" t="s">
        <v>108</v>
      </c>
      <c r="B108" s="23" t="s">
        <v>112</v>
      </c>
      <c r="C108" s="23" t="s">
        <v>117</v>
      </c>
      <c r="D108" s="23" t="s">
        <v>120</v>
      </c>
      <c r="E108" s="8">
        <f>1+1+1+1+1+1+1+1</f>
        <v>8</v>
      </c>
      <c r="F108" s="2">
        <f>1+1+ 1</f>
        <v>3</v>
      </c>
      <c r="G108" s="2">
        <f>1+1+ 1</f>
        <v>3</v>
      </c>
      <c r="H108" s="2">
        <v>0</v>
      </c>
      <c r="I108" s="36">
        <v>0</v>
      </c>
      <c r="J108" s="41">
        <f t="shared" si="1"/>
        <v>14</v>
      </c>
    </row>
  </sheetData>
  <sortState xmlns:xlrd2="http://schemas.microsoft.com/office/spreadsheetml/2017/richdata2" ref="A2:J108">
    <sortCondition ref="J2:J10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CBC76-AF16-40E2-B633-8A3B1213BC9E}">
  <dimension ref="A1:B2"/>
  <sheetViews>
    <sheetView workbookViewId="0">
      <selection sqref="A1:B2"/>
    </sheetView>
  </sheetViews>
  <sheetFormatPr defaultColWidth="11.42578125" defaultRowHeight="15" x14ac:dyDescent="0.25"/>
  <cols>
    <col min="1" max="1" width="22.7109375" bestFit="1" customWidth="1"/>
    <col min="2" max="2" width="22.28515625" customWidth="1"/>
  </cols>
  <sheetData>
    <row r="1" spans="1:2" x14ac:dyDescent="0.25">
      <c r="A1" s="60" t="s">
        <v>128</v>
      </c>
      <c r="B1" s="60"/>
    </row>
    <row r="2" spans="1:2" x14ac:dyDescent="0.25">
      <c r="A2" s="51">
        <v>9701045520707140</v>
      </c>
      <c r="B2" s="52">
        <v>-7458116213579190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51721-4274-4819-8D12-1D72FFD12465}">
  <dimension ref="A1:AF35"/>
  <sheetViews>
    <sheetView topLeftCell="A4" zoomScale="80" zoomScaleNormal="80" workbookViewId="0">
      <selection activeCell="E18" sqref="E18:I18"/>
    </sheetView>
  </sheetViews>
  <sheetFormatPr defaultColWidth="11.42578125" defaultRowHeight="15" x14ac:dyDescent="0.25"/>
  <sheetData>
    <row r="1" spans="1:32" x14ac:dyDescent="0.25">
      <c r="A1" s="11" t="s">
        <v>0</v>
      </c>
      <c r="B1" s="21" t="s">
        <v>113</v>
      </c>
      <c r="C1" s="21" t="s">
        <v>114</v>
      </c>
      <c r="D1" s="21" t="s">
        <v>118</v>
      </c>
      <c r="E1" s="16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24" t="s">
        <v>122</v>
      </c>
      <c r="L1" s="11" t="s">
        <v>0</v>
      </c>
      <c r="M1" s="21" t="s">
        <v>113</v>
      </c>
      <c r="N1" s="21" t="s">
        <v>114</v>
      </c>
      <c r="O1" s="21" t="s">
        <v>118</v>
      </c>
      <c r="P1" s="16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24" t="s">
        <v>122</v>
      </c>
      <c r="W1" s="11" t="s">
        <v>0</v>
      </c>
      <c r="X1" s="21" t="s">
        <v>113</v>
      </c>
      <c r="Y1" s="21" t="s">
        <v>114</v>
      </c>
      <c r="Z1" s="21" t="s">
        <v>118</v>
      </c>
      <c r="AA1" s="16" t="s">
        <v>12</v>
      </c>
      <c r="AB1" s="1" t="s">
        <v>13</v>
      </c>
      <c r="AC1" s="1" t="s">
        <v>14</v>
      </c>
      <c r="AD1" s="1" t="s">
        <v>15</v>
      </c>
      <c r="AE1" s="1" t="s">
        <v>16</v>
      </c>
      <c r="AF1" s="24" t="s">
        <v>122</v>
      </c>
    </row>
    <row r="2" spans="1:32" x14ac:dyDescent="0.25">
      <c r="A2" s="25" t="s">
        <v>17</v>
      </c>
      <c r="B2" s="26" t="s">
        <v>110</v>
      </c>
      <c r="C2" s="26" t="s">
        <v>115</v>
      </c>
      <c r="D2" s="27" t="s">
        <v>119</v>
      </c>
      <c r="E2" s="28">
        <f>1+1+1+1+1+1+1+1+1+1+1+1+1+1+1+1+1+1+1+1+1+1+1+1+1+1+1+1+1+1+1+1+1+1+1</f>
        <v>35</v>
      </c>
      <c r="F2" s="29">
        <f>1+1+1+1+1+1+1+1+1+1+1+1+1+1+1+1+1+1+1+1+1+1+1+1+1+1+1+1+1+1+1+1+1+1+1+1+1+1+1+1+1+1+1+1+1</f>
        <v>45</v>
      </c>
      <c r="G2" s="30">
        <f>1+1+1+1+1+1</f>
        <v>6</v>
      </c>
      <c r="H2" s="31">
        <f>1+1+1+1+1+1+1+1+1+1+1+1+1+1+1+1+1+1+1+1+1+1+1+1+1+1+1+1+1+1</f>
        <v>30</v>
      </c>
      <c r="I2" s="37">
        <v>0</v>
      </c>
      <c r="J2" s="42">
        <f>E2+F2+G2+H2+I2</f>
        <v>116</v>
      </c>
      <c r="L2" s="14" t="s">
        <v>45</v>
      </c>
      <c r="M2" s="23" t="s">
        <v>111</v>
      </c>
      <c r="N2" s="23" t="s">
        <v>115</v>
      </c>
      <c r="O2" s="23" t="s">
        <v>120</v>
      </c>
      <c r="P2" s="8">
        <f>1+1+1+1+1+1+1+1+1+1+1+1+1+1+1+1+1+1+1+1+1+1+1+1+1+1+1+1+1+1+1+1+1+1+1+1+1+1</f>
        <v>38</v>
      </c>
      <c r="Q2" s="2">
        <f>1+1+1+1+1+1</f>
        <v>6</v>
      </c>
      <c r="R2" s="2">
        <f>1+1+1</f>
        <v>3</v>
      </c>
      <c r="S2" s="2">
        <v>0</v>
      </c>
      <c r="T2" s="36">
        <v>0</v>
      </c>
      <c r="U2" s="41">
        <f t="shared" ref="U2:U34" si="0">P2+Q2+R2+S2+T2</f>
        <v>47</v>
      </c>
      <c r="W2" s="14" t="s">
        <v>78</v>
      </c>
      <c r="X2" s="23" t="s">
        <v>112</v>
      </c>
      <c r="Y2" s="23" t="s">
        <v>115</v>
      </c>
      <c r="Z2" s="23" t="s">
        <v>119</v>
      </c>
      <c r="AA2" s="8">
        <f>1+1+ 1</f>
        <v>3</v>
      </c>
      <c r="AB2" s="2">
        <v>0</v>
      </c>
      <c r="AC2" s="2">
        <v>0</v>
      </c>
      <c r="AD2" s="2">
        <v>0</v>
      </c>
      <c r="AE2" s="36">
        <v>1</v>
      </c>
      <c r="AF2" s="41">
        <f t="shared" ref="AF2:AF33" si="1">AA2+AB2+AC2+AD2+AE2</f>
        <v>4</v>
      </c>
    </row>
    <row r="3" spans="1:32" x14ac:dyDescent="0.25">
      <c r="A3" s="14" t="s">
        <v>18</v>
      </c>
      <c r="B3" s="23" t="s">
        <v>110</v>
      </c>
      <c r="C3" s="23" t="s">
        <v>116</v>
      </c>
      <c r="D3" s="22" t="s">
        <v>119</v>
      </c>
      <c r="E3" s="18">
        <f>1+1+1</f>
        <v>3</v>
      </c>
      <c r="F3" s="10">
        <f>1+1+1+1+1</f>
        <v>5</v>
      </c>
      <c r="G3" s="8">
        <f>1+1</f>
        <v>2</v>
      </c>
      <c r="H3" s="2">
        <f>1+1+1</f>
        <v>3</v>
      </c>
      <c r="I3" s="36">
        <v>1</v>
      </c>
      <c r="J3" s="41">
        <f t="shared" ref="J3:J31" si="2">E3+F3+G3+H3+I3</f>
        <v>14</v>
      </c>
      <c r="L3" s="14" t="s">
        <v>46</v>
      </c>
      <c r="M3" s="23" t="s">
        <v>111</v>
      </c>
      <c r="N3" s="23" t="s">
        <v>115</v>
      </c>
      <c r="O3" s="23" t="s">
        <v>120</v>
      </c>
      <c r="P3" s="8">
        <f>1+1+1+1+1+1+1+1+ 1+1+1+1+1</f>
        <v>13</v>
      </c>
      <c r="Q3" s="2">
        <f>1+1+1+1+1+1+1+1</f>
        <v>8</v>
      </c>
      <c r="R3" s="2">
        <v>0</v>
      </c>
      <c r="S3" s="2">
        <v>0</v>
      </c>
      <c r="T3" s="36">
        <v>0</v>
      </c>
      <c r="U3" s="41">
        <f t="shared" si="0"/>
        <v>21</v>
      </c>
      <c r="W3" s="14" t="s">
        <v>79</v>
      </c>
      <c r="X3" s="23" t="s">
        <v>112</v>
      </c>
      <c r="Y3" s="23" t="s">
        <v>116</v>
      </c>
      <c r="Z3" s="23" t="s">
        <v>120</v>
      </c>
      <c r="AA3" s="8">
        <v>0</v>
      </c>
      <c r="AB3" s="2">
        <v>0</v>
      </c>
      <c r="AC3" s="2">
        <v>0</v>
      </c>
      <c r="AD3" s="2">
        <v>0</v>
      </c>
      <c r="AE3" s="36">
        <v>0</v>
      </c>
      <c r="AF3" s="41">
        <f t="shared" si="1"/>
        <v>0</v>
      </c>
    </row>
    <row r="4" spans="1:32" x14ac:dyDescent="0.25">
      <c r="A4" s="25" t="s">
        <v>123</v>
      </c>
      <c r="B4" s="26" t="s">
        <v>110</v>
      </c>
      <c r="C4" s="26" t="s">
        <v>115</v>
      </c>
      <c r="D4" s="26" t="s">
        <v>120</v>
      </c>
      <c r="E4" s="32">
        <f>1+1+1+1+1+1+1+1+1+1+1+1+1+1+1+1+1+1+1+1+1+1+1+1+1+1+1+1+1+1+ 1+1+1+1+1+1+1+1+1+1+1+1+1+1+1+1+1+1+1+1+1+1+1+1+1+1+1+1+1+1+1+1+1</f>
        <v>63</v>
      </c>
      <c r="F4" s="33">
        <f>1+1+1+1+1+1+1+1+1+1+1+1+1+1+1+1+1+1+1+1+1+1+1+1+1+1+1+1+1+1+1+1+1+1+1+1+1+1+1+1+1+1+1+1+1+1+1</f>
        <v>47</v>
      </c>
      <c r="G4" s="31">
        <f>1+1+1+1+1+1+1+1+1+1+1+1+1+1+1+1+1+1+1+1+1+1+1+1+1+1+1+1+1+1+1+1+1+1+1+1+1+1+1+1+1+1+1+1+1+1+1+1+1+1+1+1+1+1+1+1+1+1+1+1+1</f>
        <v>61</v>
      </c>
      <c r="H4" s="31">
        <f>1+1+1+1+1+1+1+1+1+1+1+1+1+1+1+1+1+1+1+1+1+1+1</f>
        <v>23</v>
      </c>
      <c r="I4" s="37">
        <f>1+1+1+1</f>
        <v>4</v>
      </c>
      <c r="J4" s="42">
        <f t="shared" si="2"/>
        <v>198</v>
      </c>
      <c r="L4" s="14" t="s">
        <v>47</v>
      </c>
      <c r="M4" s="23" t="s">
        <v>111</v>
      </c>
      <c r="N4" s="23" t="s">
        <v>115</v>
      </c>
      <c r="O4" s="23" t="s">
        <v>120</v>
      </c>
      <c r="P4" s="8">
        <f>1+1+1+1+1+1+1+1+1+1+1+1+1+1+1+1+1+1+1+1+1+1+1+1+1+1+1+1</f>
        <v>28</v>
      </c>
      <c r="Q4" s="2">
        <v>0</v>
      </c>
      <c r="R4" s="2">
        <v>0</v>
      </c>
      <c r="S4" s="2">
        <v>0</v>
      </c>
      <c r="T4" s="36">
        <v>0</v>
      </c>
      <c r="U4" s="41">
        <f t="shared" si="0"/>
        <v>28</v>
      </c>
      <c r="W4" s="25" t="s">
        <v>80</v>
      </c>
      <c r="X4" s="26" t="s">
        <v>112</v>
      </c>
      <c r="Y4" s="26" t="s">
        <v>115</v>
      </c>
      <c r="Z4" s="26" t="s">
        <v>120</v>
      </c>
      <c r="AA4" s="30">
        <f>1+1+1+1+1+1+1+1+1+1+1+1+1+1+1+1+1+1+1+1+1+1+1+1+1+1+1+1+1+1+1+1+1+1+1+1+1+1+1+1+ 1+1+1+1+1+1+1+1+1+1+1+1+ 1+1+1+1+1+1+1+1+1+1+1+1</f>
        <v>64</v>
      </c>
      <c r="AB4" s="31">
        <f>1+1+1+1+1+1+1+1+1+1+1+1+1+1+1+1+1+1+1+1+1+1+1+1+1+1+1+1+1+1+1+1+1+1+1+1+1+1+1+1+1+1+1+1+1+1+1</f>
        <v>47</v>
      </c>
      <c r="AC4" s="31">
        <f>1+1+1+1+1+1+1+1+1+1+1+1+1+1+1+1+1+1+1+1+1+1+1+1+1+1+1+1+1+1+1+1+1+1+1+1+1+1+1+1</f>
        <v>40</v>
      </c>
      <c r="AD4" s="31">
        <v>1</v>
      </c>
      <c r="AE4" s="37">
        <v>1</v>
      </c>
      <c r="AF4" s="42">
        <f t="shared" si="1"/>
        <v>153</v>
      </c>
    </row>
    <row r="5" spans="1:32" x14ac:dyDescent="0.25">
      <c r="A5" s="14" t="s">
        <v>19</v>
      </c>
      <c r="B5" s="23" t="s">
        <v>110</v>
      </c>
      <c r="C5" s="23" t="s">
        <v>115</v>
      </c>
      <c r="D5" s="23" t="s">
        <v>120</v>
      </c>
      <c r="E5" s="19">
        <f>1+1+1+1+1+1+1+1+1+1+1+1+1+1+1+1+1+1+1+1+1+1+1+1+1</f>
        <v>25</v>
      </c>
      <c r="F5" s="2">
        <f>1+1+1+1+1+1</f>
        <v>6</v>
      </c>
      <c r="G5" s="2">
        <f>2+1+1+1+1</f>
        <v>6</v>
      </c>
      <c r="H5" s="2">
        <v>1</v>
      </c>
      <c r="I5" s="36">
        <v>0</v>
      </c>
      <c r="J5" s="41">
        <f t="shared" si="2"/>
        <v>38</v>
      </c>
      <c r="L5" s="14" t="s">
        <v>48</v>
      </c>
      <c r="M5" s="23" t="s">
        <v>111</v>
      </c>
      <c r="N5" s="23" t="s">
        <v>115</v>
      </c>
      <c r="O5" s="23" t="s">
        <v>120</v>
      </c>
      <c r="P5" s="8">
        <f>1+1+1+1+1+1+1</f>
        <v>7</v>
      </c>
      <c r="Q5" s="2">
        <v>0</v>
      </c>
      <c r="R5" s="2">
        <v>0</v>
      </c>
      <c r="S5" s="2">
        <v>0</v>
      </c>
      <c r="T5" s="36">
        <v>0</v>
      </c>
      <c r="U5" s="41">
        <f t="shared" si="0"/>
        <v>7</v>
      </c>
      <c r="W5" s="25" t="s">
        <v>81</v>
      </c>
      <c r="X5" s="26" t="s">
        <v>112</v>
      </c>
      <c r="Y5" s="26" t="s">
        <v>115</v>
      </c>
      <c r="Z5" s="26" t="s">
        <v>120</v>
      </c>
      <c r="AA5" s="30">
        <f>1+1+1+1+1+1+1+1+1+1+1+1+1+1+1+1+1+1+1+1+1+1+1+1+1+1+1+1+1+1+1+1+1+1+1+1+1+1+1+1+1+1+1+1+1+1+1+1+1+1+1+1+1+1+1+1+1+1+1+1+1+1</f>
        <v>62</v>
      </c>
      <c r="AB5" s="31">
        <f>1+1+1+1+1+1+1+1+1+1+1+1+1+1+1+1+1+1+1+1+1+1+1+1+1+1+1+1+1+1+1+1+1+1+1+1+1+1+1+1+1+1+1+1+1</f>
        <v>45</v>
      </c>
      <c r="AC5" s="31">
        <f>1+1+1+1+1+1+1+1+1+1+1+1+1+1+1+1+1+1+1+1+1+1+1+1+1+1+1+1+1+1+1+1+1</f>
        <v>33</v>
      </c>
      <c r="AD5" s="31">
        <v>1</v>
      </c>
      <c r="AE5" s="37">
        <v>1</v>
      </c>
      <c r="AF5" s="42">
        <f t="shared" si="1"/>
        <v>142</v>
      </c>
    </row>
    <row r="6" spans="1:32" x14ac:dyDescent="0.25">
      <c r="A6" s="25" t="s">
        <v>20</v>
      </c>
      <c r="B6" s="26" t="s">
        <v>110</v>
      </c>
      <c r="C6" s="26" t="s">
        <v>115</v>
      </c>
      <c r="D6" s="26" t="s">
        <v>120</v>
      </c>
      <c r="E6" s="32">
        <f>1+1+1+1+1+1+1+1+1+1+1+1+1+1+1+1+1+1+1+1+1+1+1+1+1+1+1+1+1+1+ 1+1+1+1+1+1+1+1+1+1+1+1+1+1+1+1+1+1+1+1+1+1+1+1+1+1+1+1+1+1+1+1+1+1</f>
        <v>64</v>
      </c>
      <c r="F6" s="31">
        <f>1+1+1+1+1+1+1+1+1+1+1+1+1+1+1+1+1+1+1+1+1+1+1+1+1+1+1+1+1+1+1+1+1+1+1+1+1+1+1+1+1+1+1+1+1+1+1+1+1+1+1+1+1
+1+1+1</f>
        <v>56</v>
      </c>
      <c r="G6" s="31">
        <f>3+1+1+1+1+1+1+1+1+1+1+1</f>
        <v>14</v>
      </c>
      <c r="H6" s="31">
        <f>4+1+1+1+1+1+1+1+1+1+1+1+1+1+1+1</f>
        <v>19</v>
      </c>
      <c r="I6" s="37">
        <v>0</v>
      </c>
      <c r="J6" s="42">
        <f t="shared" si="2"/>
        <v>153</v>
      </c>
      <c r="L6" s="14" t="s">
        <v>49</v>
      </c>
      <c r="M6" s="23" t="s">
        <v>111</v>
      </c>
      <c r="N6" s="23" t="s">
        <v>115</v>
      </c>
      <c r="O6" s="23" t="s">
        <v>120</v>
      </c>
      <c r="P6" s="8">
        <f>1+1+1+1+1+1+1+1+1+1+1+1+1+1+1+1+1+1+1+1+1+1+1+1+1+1+1+1+1+1+1+1+1+1+1+1+1+1+1+1+1+1+1+1+1+1+1+1</f>
        <v>48</v>
      </c>
      <c r="Q6" s="2">
        <f>1+1+1+1+1+1</f>
        <v>6</v>
      </c>
      <c r="R6" s="2">
        <f>1+1</f>
        <v>2</v>
      </c>
      <c r="S6" s="2">
        <v>0</v>
      </c>
      <c r="T6" s="36">
        <v>0</v>
      </c>
      <c r="U6" s="41">
        <f t="shared" si="0"/>
        <v>56</v>
      </c>
      <c r="W6" s="14" t="s">
        <v>82</v>
      </c>
      <c r="X6" s="23" t="s">
        <v>112</v>
      </c>
      <c r="Y6" s="23" t="s">
        <v>115</v>
      </c>
      <c r="Z6" s="23" t="s">
        <v>120</v>
      </c>
      <c r="AA6" s="8">
        <f>1</f>
        <v>1</v>
      </c>
      <c r="AB6" s="2">
        <v>0</v>
      </c>
      <c r="AC6" s="2">
        <f>1+1+1+1+1+1+1+1+1+1+1+ 1</f>
        <v>12</v>
      </c>
      <c r="AD6" s="2">
        <v>0</v>
      </c>
      <c r="AE6" s="36">
        <v>0</v>
      </c>
      <c r="AF6" s="41">
        <f t="shared" si="1"/>
        <v>13</v>
      </c>
    </row>
    <row r="7" spans="1:32" x14ac:dyDescent="0.25">
      <c r="A7" s="25" t="s">
        <v>21</v>
      </c>
      <c r="B7" s="26" t="s">
        <v>110</v>
      </c>
      <c r="C7" s="26" t="s">
        <v>115</v>
      </c>
      <c r="D7" s="26" t="s">
        <v>120</v>
      </c>
      <c r="E7" s="34">
        <f>1+1+1+1+1+1+1+1+1+1+1+1+1+1+1+1+1+1+1+1+1+1+1+1+1+1+1+1+1+1+1+1+1+1+1+1+1+1+1+1+1+1+1+1+1+1+1+1+1+1+1+1+1
+1+1+1</f>
        <v>56</v>
      </c>
      <c r="F7" s="35">
        <f>1+1+1+1+1+1+1+1+1+1+1+1+1+1+1+ 1+1+1+1+1+1+1+1+1+1+1+1+1+1+1+1+1+1+1+1+1+1+1+1+1+1+1</f>
        <v>42</v>
      </c>
      <c r="G7" s="35">
        <v>0</v>
      </c>
      <c r="H7" s="35">
        <f>1+1</f>
        <v>2</v>
      </c>
      <c r="I7" s="38">
        <v>0</v>
      </c>
      <c r="J7" s="42">
        <f t="shared" si="2"/>
        <v>100</v>
      </c>
      <c r="L7" s="14" t="s">
        <v>50</v>
      </c>
      <c r="M7" s="23" t="s">
        <v>111</v>
      </c>
      <c r="N7" s="23" t="s">
        <v>115</v>
      </c>
      <c r="O7" s="23" t="s">
        <v>120</v>
      </c>
      <c r="P7" s="8">
        <f>1+1+1+1+1+1+1+1+1+1+1+1+1+1+1+1+1+1+1+1+1+1+1+1+1+1+1+1+1+1</f>
        <v>30</v>
      </c>
      <c r="Q7" s="2">
        <f>1+1+1+1+1+1</f>
        <v>6</v>
      </c>
      <c r="R7" s="2">
        <f>1+1+1+1+1+1+1+1+1+1+1</f>
        <v>11</v>
      </c>
      <c r="S7" s="2">
        <v>0</v>
      </c>
      <c r="T7" s="36">
        <v>0</v>
      </c>
      <c r="U7" s="41">
        <f t="shared" si="0"/>
        <v>47</v>
      </c>
      <c r="W7" s="14" t="s">
        <v>83</v>
      </c>
      <c r="X7" s="23" t="s">
        <v>112</v>
      </c>
      <c r="Y7" s="23" t="s">
        <v>117</v>
      </c>
      <c r="Z7" s="23" t="s">
        <v>120</v>
      </c>
      <c r="AA7" s="8">
        <v>0</v>
      </c>
      <c r="AB7" s="2">
        <v>0</v>
      </c>
      <c r="AC7" s="2">
        <v>0</v>
      </c>
      <c r="AD7" s="2">
        <v>0</v>
      </c>
      <c r="AE7" s="36">
        <v>0</v>
      </c>
      <c r="AF7" s="41">
        <f t="shared" si="1"/>
        <v>0</v>
      </c>
    </row>
    <row r="8" spans="1:32" x14ac:dyDescent="0.25">
      <c r="A8" s="14" t="s">
        <v>22</v>
      </c>
      <c r="B8" s="23" t="s">
        <v>110</v>
      </c>
      <c r="C8" s="23" t="s">
        <v>116</v>
      </c>
      <c r="D8" s="23" t="s">
        <v>119</v>
      </c>
      <c r="E8" s="19">
        <v>0</v>
      </c>
      <c r="F8" s="2">
        <v>0</v>
      </c>
      <c r="G8" s="2">
        <v>0</v>
      </c>
      <c r="H8" s="2">
        <v>0</v>
      </c>
      <c r="I8" s="36">
        <v>0</v>
      </c>
      <c r="J8" s="41">
        <f t="shared" si="2"/>
        <v>0</v>
      </c>
      <c r="L8" s="14" t="s">
        <v>51</v>
      </c>
      <c r="M8" s="23" t="s">
        <v>111</v>
      </c>
      <c r="N8" s="23" t="s">
        <v>115</v>
      </c>
      <c r="O8" s="23" t="s">
        <v>120</v>
      </c>
      <c r="P8" s="8">
        <f>1+1+1+1+1+1+1+1+1+1+1+1+1+1+1+1+1+1+1+1+1+1+1+1+1+1+1+1+1+1+1+1+1</f>
        <v>33</v>
      </c>
      <c r="Q8" s="2">
        <f>1+1+1+1</f>
        <v>4</v>
      </c>
      <c r="R8" s="2">
        <f>1+1+1+1+1+1+1+1+ 1+1+1+1+1</f>
        <v>13</v>
      </c>
      <c r="S8" s="2"/>
      <c r="T8" s="36"/>
      <c r="U8" s="41">
        <f t="shared" si="0"/>
        <v>50</v>
      </c>
      <c r="W8" s="14" t="s">
        <v>84</v>
      </c>
      <c r="X8" s="23" t="s">
        <v>112</v>
      </c>
      <c r="Y8" s="23" t="s">
        <v>115</v>
      </c>
      <c r="Z8" s="23" t="s">
        <v>120</v>
      </c>
      <c r="AA8" s="8">
        <f>1+1+1+1+1+1+1+1+1</f>
        <v>9</v>
      </c>
      <c r="AB8" s="2">
        <v>1</v>
      </c>
      <c r="AC8" s="2">
        <f>1+1+1+1+1+1+1+1+1+1</f>
        <v>10</v>
      </c>
      <c r="AD8" s="2">
        <v>0</v>
      </c>
      <c r="AE8" s="36">
        <v>0</v>
      </c>
      <c r="AF8" s="41">
        <f t="shared" si="1"/>
        <v>20</v>
      </c>
    </row>
    <row r="9" spans="1:32" x14ac:dyDescent="0.25">
      <c r="A9" s="14" t="s">
        <v>23</v>
      </c>
      <c r="B9" s="23" t="s">
        <v>110</v>
      </c>
      <c r="C9" s="23" t="s">
        <v>115</v>
      </c>
      <c r="D9" s="23" t="s">
        <v>121</v>
      </c>
      <c r="E9" s="19">
        <v>0</v>
      </c>
      <c r="F9" s="3">
        <v>0</v>
      </c>
      <c r="G9" s="3">
        <v>0</v>
      </c>
      <c r="H9" s="3">
        <v>0</v>
      </c>
      <c r="I9" s="39">
        <v>0</v>
      </c>
      <c r="J9" s="41">
        <f t="shared" si="2"/>
        <v>0</v>
      </c>
      <c r="L9" s="25" t="s">
        <v>52</v>
      </c>
      <c r="M9" s="26" t="s">
        <v>111</v>
      </c>
      <c r="N9" s="26" t="s">
        <v>115</v>
      </c>
      <c r="O9" s="26" t="s">
        <v>120</v>
      </c>
      <c r="P9" s="30">
        <f>1+1+1+1+1+1+1+1+1+1+1+1+1+1+1+1+1+1+1+1+1+1+1+1+1+1+1+1+1+1+1+1+1+1+1+1+1+1+1+1+1+1+1+1+1+1+1+1+1+1+1+1+ 1+1+1+1+1+1+1+1+1+1+1+1</f>
        <v>64</v>
      </c>
      <c r="Q9" s="31">
        <f>1+1+1+1+ 1+1+1+1+1+1+1+1+1+1+1+1+1+1+1+1</f>
        <v>20</v>
      </c>
      <c r="R9" s="31">
        <f>1+1+1+1+1+1+1+1+1+1+1+1+1+1+1+1+1+1+1+1+1+1+1+1+1+1+1+1+1+1+1+1+1+1+1+1+1+1+1+1+1+1+1</f>
        <v>43</v>
      </c>
      <c r="S9" s="31">
        <v>0</v>
      </c>
      <c r="T9" s="37">
        <v>0</v>
      </c>
      <c r="U9" s="42">
        <f t="shared" si="0"/>
        <v>127</v>
      </c>
      <c r="W9" s="14" t="s">
        <v>85</v>
      </c>
      <c r="X9" s="23" t="s">
        <v>112</v>
      </c>
      <c r="Y9" s="23" t="s">
        <v>115</v>
      </c>
      <c r="Z9" s="23" t="s">
        <v>120</v>
      </c>
      <c r="AA9" s="8">
        <v>1</v>
      </c>
      <c r="AB9" s="2">
        <v>0</v>
      </c>
      <c r="AC9" s="2">
        <f>1+1+ 1</f>
        <v>3</v>
      </c>
      <c r="AD9" s="2">
        <v>0</v>
      </c>
      <c r="AE9" s="36">
        <v>0</v>
      </c>
      <c r="AF9" s="41">
        <f t="shared" si="1"/>
        <v>4</v>
      </c>
    </row>
    <row r="10" spans="1:32" x14ac:dyDescent="0.25">
      <c r="A10" s="14" t="s">
        <v>24</v>
      </c>
      <c r="B10" s="23" t="s">
        <v>110</v>
      </c>
      <c r="C10" s="23" t="s">
        <v>115</v>
      </c>
      <c r="D10" s="23" t="s">
        <v>120</v>
      </c>
      <c r="E10" s="19">
        <v>0</v>
      </c>
      <c r="F10" s="3">
        <v>0</v>
      </c>
      <c r="G10" s="3">
        <v>0</v>
      </c>
      <c r="H10" s="3">
        <v>0</v>
      </c>
      <c r="I10" s="39">
        <v>0</v>
      </c>
      <c r="J10" s="41">
        <f t="shared" si="2"/>
        <v>0</v>
      </c>
      <c r="L10" s="14" t="s">
        <v>53</v>
      </c>
      <c r="M10" s="23" t="s">
        <v>111</v>
      </c>
      <c r="N10" s="23" t="s">
        <v>115</v>
      </c>
      <c r="O10" s="23" t="s">
        <v>119</v>
      </c>
      <c r="P10" s="8">
        <v>0</v>
      </c>
      <c r="Q10" s="2">
        <v>0</v>
      </c>
      <c r="R10" s="2">
        <v>0</v>
      </c>
      <c r="S10" s="2">
        <v>0</v>
      </c>
      <c r="T10" s="36">
        <v>0</v>
      </c>
      <c r="U10" s="41">
        <f t="shared" si="0"/>
        <v>0</v>
      </c>
      <c r="W10" s="14" t="s">
        <v>86</v>
      </c>
      <c r="X10" s="23" t="s">
        <v>112</v>
      </c>
      <c r="Y10" s="23" t="s">
        <v>115</v>
      </c>
      <c r="Z10" s="23" t="s">
        <v>120</v>
      </c>
      <c r="AA10" s="8">
        <f>1+1+ 1</f>
        <v>3</v>
      </c>
      <c r="AB10" s="2">
        <f>1+1+ 1</f>
        <v>3</v>
      </c>
      <c r="AC10" s="2">
        <f>1+1+1+1+1+1+1+1+1+1+1+1+1+1+1+1+1+1+1+1+1+1+1</f>
        <v>23</v>
      </c>
      <c r="AD10" s="2">
        <v>0</v>
      </c>
      <c r="AE10" s="36">
        <v>0</v>
      </c>
      <c r="AF10" s="41">
        <f t="shared" si="1"/>
        <v>29</v>
      </c>
    </row>
    <row r="11" spans="1:32" x14ac:dyDescent="0.25">
      <c r="A11" s="14" t="s">
        <v>25</v>
      </c>
      <c r="B11" s="23" t="s">
        <v>110</v>
      </c>
      <c r="C11" s="23" t="s">
        <v>115</v>
      </c>
      <c r="D11" s="23" t="s">
        <v>120</v>
      </c>
      <c r="E11" s="19">
        <v>0</v>
      </c>
      <c r="F11" s="3">
        <v>0</v>
      </c>
      <c r="G11" s="3">
        <v>0</v>
      </c>
      <c r="H11" s="3">
        <v>0</v>
      </c>
      <c r="I11" s="39">
        <v>0</v>
      </c>
      <c r="J11" s="41">
        <f t="shared" si="2"/>
        <v>0</v>
      </c>
      <c r="L11" s="14" t="s">
        <v>54</v>
      </c>
      <c r="M11" s="23" t="s">
        <v>111</v>
      </c>
      <c r="N11" s="23" t="s">
        <v>115</v>
      </c>
      <c r="O11" s="23" t="s">
        <v>119</v>
      </c>
      <c r="P11" s="8">
        <v>0</v>
      </c>
      <c r="Q11" s="2">
        <v>0</v>
      </c>
      <c r="R11" s="2">
        <v>0</v>
      </c>
      <c r="S11" s="2">
        <v>0</v>
      </c>
      <c r="T11" s="36">
        <v>0</v>
      </c>
      <c r="U11" s="41">
        <f t="shared" si="0"/>
        <v>0</v>
      </c>
      <c r="W11" s="14" t="s">
        <v>87</v>
      </c>
      <c r="X11" s="23" t="s">
        <v>112</v>
      </c>
      <c r="Y11" s="23" t="s">
        <v>115</v>
      </c>
      <c r="Z11" s="23" t="s">
        <v>120</v>
      </c>
      <c r="AA11" s="8">
        <v>0</v>
      </c>
      <c r="AB11" s="2">
        <f>1+1+1+1+1+1+1</f>
        <v>7</v>
      </c>
      <c r="AC11" s="2">
        <f>1+1+1+1+1+1+1+1+1+1+1+1+1+1+1+1+1+1+1+1+1+1+1+1+1+1+1+1+1+1+1+1+1+1+1+1+1+1+1+1+1+1+1+1+1+1+1+1+1+1+1+1+1+1+1+1+1</f>
        <v>57</v>
      </c>
      <c r="AD11" s="2">
        <v>0</v>
      </c>
      <c r="AE11" s="36">
        <v>0</v>
      </c>
      <c r="AF11" s="41">
        <f t="shared" si="1"/>
        <v>64</v>
      </c>
    </row>
    <row r="12" spans="1:32" x14ac:dyDescent="0.25">
      <c r="A12" s="14" t="s">
        <v>26</v>
      </c>
      <c r="B12" s="23" t="s">
        <v>110</v>
      </c>
      <c r="C12" s="23" t="s">
        <v>115</v>
      </c>
      <c r="D12" s="23" t="s">
        <v>120</v>
      </c>
      <c r="E12" s="19">
        <v>0</v>
      </c>
      <c r="F12" s="3">
        <v>0</v>
      </c>
      <c r="G12" s="3">
        <v>0</v>
      </c>
      <c r="H12" s="3">
        <v>0</v>
      </c>
      <c r="I12" s="39">
        <v>0</v>
      </c>
      <c r="J12" s="41">
        <f t="shared" si="2"/>
        <v>0</v>
      </c>
      <c r="L12" s="14" t="s">
        <v>55</v>
      </c>
      <c r="M12" s="23" t="s">
        <v>111</v>
      </c>
      <c r="N12" s="23" t="s">
        <v>115</v>
      </c>
      <c r="O12" s="23" t="s">
        <v>119</v>
      </c>
      <c r="P12" s="8">
        <v>0</v>
      </c>
      <c r="Q12" s="2">
        <v>0</v>
      </c>
      <c r="R12" s="2">
        <v>0</v>
      </c>
      <c r="S12" s="2">
        <v>0</v>
      </c>
      <c r="T12" s="36">
        <v>0</v>
      </c>
      <c r="U12" s="41">
        <f t="shared" si="0"/>
        <v>0</v>
      </c>
      <c r="W12" s="14" t="s">
        <v>88</v>
      </c>
      <c r="X12" s="23" t="s">
        <v>112</v>
      </c>
      <c r="Y12" s="23" t="s">
        <v>117</v>
      </c>
      <c r="Z12" s="23" t="s">
        <v>120</v>
      </c>
      <c r="AA12" s="8">
        <v>0</v>
      </c>
      <c r="AB12" s="2">
        <v>0</v>
      </c>
      <c r="AC12" s="2">
        <f>1+1+1+1+1</f>
        <v>5</v>
      </c>
      <c r="AD12" s="2">
        <v>0</v>
      </c>
      <c r="AE12" s="36">
        <v>0</v>
      </c>
      <c r="AF12" s="41">
        <f t="shared" si="1"/>
        <v>5</v>
      </c>
    </row>
    <row r="13" spans="1:32" x14ac:dyDescent="0.25">
      <c r="A13" s="14" t="s">
        <v>27</v>
      </c>
      <c r="B13" s="23" t="s">
        <v>110</v>
      </c>
      <c r="C13" s="23" t="s">
        <v>115</v>
      </c>
      <c r="D13" s="23" t="s">
        <v>120</v>
      </c>
      <c r="E13" s="19">
        <v>0</v>
      </c>
      <c r="F13" s="3">
        <v>0</v>
      </c>
      <c r="G13" s="3">
        <v>0</v>
      </c>
      <c r="H13" s="3">
        <v>0</v>
      </c>
      <c r="I13" s="39">
        <v>0</v>
      </c>
      <c r="J13" s="41">
        <f t="shared" si="2"/>
        <v>0</v>
      </c>
      <c r="L13" s="14" t="s">
        <v>56</v>
      </c>
      <c r="M13" s="23" t="s">
        <v>111</v>
      </c>
      <c r="N13" s="23" t="s">
        <v>115</v>
      </c>
      <c r="O13" s="23" t="s">
        <v>119</v>
      </c>
      <c r="P13" s="8">
        <v>0</v>
      </c>
      <c r="Q13" s="2">
        <v>0</v>
      </c>
      <c r="R13" s="2">
        <v>0</v>
      </c>
      <c r="S13" s="2">
        <v>0</v>
      </c>
      <c r="T13" s="36">
        <v>0</v>
      </c>
      <c r="U13" s="41">
        <f t="shared" si="0"/>
        <v>0</v>
      </c>
      <c r="W13" s="14" t="s">
        <v>89</v>
      </c>
      <c r="X13" s="23" t="s">
        <v>112</v>
      </c>
      <c r="Y13" s="23" t="s">
        <v>115</v>
      </c>
      <c r="Z13" s="23" t="s">
        <v>120</v>
      </c>
      <c r="AA13" s="8">
        <v>0</v>
      </c>
      <c r="AB13" s="2">
        <v>0</v>
      </c>
      <c r="AC13" s="2">
        <f>1+1+1+1+1+1+1+1+1+1+1+ 1</f>
        <v>12</v>
      </c>
      <c r="AD13" s="2">
        <v>0</v>
      </c>
      <c r="AE13" s="36">
        <v>0</v>
      </c>
      <c r="AF13" s="41">
        <f t="shared" si="1"/>
        <v>12</v>
      </c>
    </row>
    <row r="14" spans="1:32" x14ac:dyDescent="0.25">
      <c r="A14" s="14" t="s">
        <v>28</v>
      </c>
      <c r="B14" s="23" t="s">
        <v>110</v>
      </c>
      <c r="C14" s="23" t="s">
        <v>115</v>
      </c>
      <c r="D14" s="23" t="s">
        <v>120</v>
      </c>
      <c r="E14" s="19">
        <v>0</v>
      </c>
      <c r="F14" s="3">
        <v>0</v>
      </c>
      <c r="G14" s="3">
        <v>0</v>
      </c>
      <c r="H14" s="3">
        <v>0</v>
      </c>
      <c r="I14" s="39">
        <v>0</v>
      </c>
      <c r="J14" s="41">
        <f t="shared" si="2"/>
        <v>0</v>
      </c>
      <c r="L14" s="25" t="s">
        <v>57</v>
      </c>
      <c r="M14" s="26" t="s">
        <v>111</v>
      </c>
      <c r="N14" s="26" t="s">
        <v>115</v>
      </c>
      <c r="O14" s="26" t="s">
        <v>120</v>
      </c>
      <c r="P14" s="30">
        <f>1+1+1+1+1+1+1+1+1+1+1+1+1+1+1+1+1+1+1+1+1+1+1+1+1+1+1+1+1+1+1+1+1+1+1+1+1+1+1+1+1+1+1+1+1+1+1+1+1+1+1+1+1+1+1+1+1+1+1+1+1+1+1</f>
        <v>63</v>
      </c>
      <c r="Q14" s="31">
        <f>1+1+1+1+ 1+1+1+1+1+1+1+1+1+1+1+1+1+1+1+1</f>
        <v>20</v>
      </c>
      <c r="R14" s="31">
        <f>1+1+1+1+1+1+1+1+1+1+1+1+1+1+1+1+1+1+1+1+1+1+1 +1+1+1+1+1+1+1+1+1+1+1+1+1+1+1+1+1+1+1+1+1+1+1+1+1+1+1+1+1+1+1+1+1+1</f>
        <v>57</v>
      </c>
      <c r="S14" s="31">
        <v>0</v>
      </c>
      <c r="T14" s="37">
        <v>0</v>
      </c>
      <c r="U14" s="42">
        <f t="shared" si="0"/>
        <v>140</v>
      </c>
      <c r="W14" s="25" t="s">
        <v>90</v>
      </c>
      <c r="X14" s="26" t="s">
        <v>112</v>
      </c>
      <c r="Y14" s="26" t="s">
        <v>115</v>
      </c>
      <c r="Z14" s="26" t="s">
        <v>120</v>
      </c>
      <c r="AA14" s="30">
        <f>1+1+1+1+1+1+1+1+1+1+1+1+1+1+1+1+1+1+1+1+1+1+1+1+1+1+1+1+1+1+1+1+1+1+1+1+1+1+1</f>
        <v>39</v>
      </c>
      <c r="AB14" s="31">
        <f>1+1+1+1+1+1+1+1+1+1+1+1+1+1+1+1+1+1+1+1+1+1+1+1</f>
        <v>24</v>
      </c>
      <c r="AC14" s="31">
        <f>1+1+1+1+1+1+1+1+1+1+1+1+1+1+1+1+1+1+1+1+1+1+1+1+1+1+1+1+1+1+1+1+1+1+1+1+1+1+1+1+1+1+1+1+1+1+1+1+1+1+1+1
+1</f>
        <v>53</v>
      </c>
      <c r="AD14" s="31">
        <f>1+1+1+1+1+1+1+1+1+1+1</f>
        <v>11</v>
      </c>
      <c r="AE14" s="37">
        <v>0</v>
      </c>
      <c r="AF14" s="42">
        <f t="shared" si="1"/>
        <v>127</v>
      </c>
    </row>
    <row r="15" spans="1:32" x14ac:dyDescent="0.25">
      <c r="A15" s="14" t="s">
        <v>29</v>
      </c>
      <c r="B15" s="23" t="s">
        <v>110</v>
      </c>
      <c r="C15" s="23" t="s">
        <v>115</v>
      </c>
      <c r="D15" s="23" t="s">
        <v>119</v>
      </c>
      <c r="E15" s="19">
        <v>0</v>
      </c>
      <c r="F15" s="3">
        <v>0</v>
      </c>
      <c r="G15" s="3">
        <v>0</v>
      </c>
      <c r="H15" s="3">
        <v>0</v>
      </c>
      <c r="I15" s="39">
        <v>0</v>
      </c>
      <c r="J15" s="41">
        <f t="shared" si="2"/>
        <v>0</v>
      </c>
      <c r="L15" s="14" t="s">
        <v>58</v>
      </c>
      <c r="M15" s="23" t="s">
        <v>111</v>
      </c>
      <c r="N15" s="23" t="s">
        <v>115</v>
      </c>
      <c r="O15" s="23" t="s">
        <v>120</v>
      </c>
      <c r="P15" s="8">
        <f>1+1+1+1+ 1+1+1+1+1+1+1+1+1+1+1+1+1+1+1+1</f>
        <v>20</v>
      </c>
      <c r="Q15" s="2">
        <f>1+1+1</f>
        <v>3</v>
      </c>
      <c r="R15" s="2">
        <f>1+1+1+1</f>
        <v>4</v>
      </c>
      <c r="S15" s="2">
        <v>0</v>
      </c>
      <c r="T15" s="36">
        <v>0</v>
      </c>
      <c r="U15" s="41">
        <f t="shared" si="0"/>
        <v>27</v>
      </c>
      <c r="W15" s="14" t="s">
        <v>91</v>
      </c>
      <c r="X15" s="23" t="s">
        <v>112</v>
      </c>
      <c r="Y15" s="23" t="s">
        <v>115</v>
      </c>
      <c r="Z15" s="23" t="s">
        <v>120</v>
      </c>
      <c r="AA15" s="8">
        <f>1+1+1+1+1+1+1+1+1+1+1+1+1+1+1+1+1+1+1+1+1+1+1+1+1+1+1+1+1+1+1+1+1+1+1+1+1+1+1+1+1+1+1+1+1+1+1+1+1+1+1+1+1+1+1</f>
        <v>55</v>
      </c>
      <c r="AB15" s="2">
        <f>1+1+ 1</f>
        <v>3</v>
      </c>
      <c r="AC15" s="2">
        <v>1</v>
      </c>
      <c r="AD15" s="2">
        <f>1+1+ 1</f>
        <v>3</v>
      </c>
      <c r="AE15" s="36">
        <v>0</v>
      </c>
      <c r="AF15" s="41">
        <f t="shared" si="1"/>
        <v>62</v>
      </c>
    </row>
    <row r="16" spans="1:32" x14ac:dyDescent="0.25">
      <c r="A16" s="14" t="s">
        <v>30</v>
      </c>
      <c r="B16" s="23" t="s">
        <v>110</v>
      </c>
      <c r="C16" s="23" t="s">
        <v>115</v>
      </c>
      <c r="D16" s="23" t="s">
        <v>119</v>
      </c>
      <c r="E16" s="20">
        <f>1+1+1</f>
        <v>3</v>
      </c>
      <c r="F16" s="4">
        <f>1+1+1+1+1+1+1+1+1+1+1+1+1+1+1+1+1+1+1+1</f>
        <v>20</v>
      </c>
      <c r="G16" s="4">
        <f>1+1+1+1+1+1+1+1+1+1+1+1+1+1+1+1+1+1+1+1+1+1+1+1+1+1+1+1+1</f>
        <v>29</v>
      </c>
      <c r="H16" s="4">
        <f>1+1+1+1+1+1+1+1+1</f>
        <v>9</v>
      </c>
      <c r="I16" s="40">
        <f>1+1+1+1</f>
        <v>4</v>
      </c>
      <c r="J16" s="41">
        <f t="shared" si="2"/>
        <v>65</v>
      </c>
      <c r="L16" s="14" t="s">
        <v>59</v>
      </c>
      <c r="M16" s="23" t="s">
        <v>111</v>
      </c>
      <c r="N16" s="23" t="s">
        <v>115</v>
      </c>
      <c r="O16" s="23" t="s">
        <v>120</v>
      </c>
      <c r="P16" s="8">
        <f>1+1+1+1+1+1+1+1+1+1+1+1+1+1+1+1+1+1+1+1+1+1+1+1+1+1+1+1+1+1+1+1+1+1+1+1+1+1+1+1+1+1+1+1+1+1+1+1+1+1+1+1+1+1+1+1+1+1+1+1+1+1</f>
        <v>62</v>
      </c>
      <c r="Q16" s="2">
        <f>3+1+1+1+1+1+1+1</f>
        <v>10</v>
      </c>
      <c r="R16" s="2">
        <f>1+1+1+1+1+1+1+1+1+1+1+1+1+1+1+1+1+1+1</f>
        <v>19</v>
      </c>
      <c r="S16" s="2">
        <v>0</v>
      </c>
      <c r="T16" s="36">
        <v>1</v>
      </c>
      <c r="U16" s="41">
        <f t="shared" si="0"/>
        <v>92</v>
      </c>
      <c r="W16" s="25" t="s">
        <v>92</v>
      </c>
      <c r="X16" s="26" t="s">
        <v>112</v>
      </c>
      <c r="Y16" s="26" t="s">
        <v>115</v>
      </c>
      <c r="Z16" s="26" t="s">
        <v>120</v>
      </c>
      <c r="AA16" s="30">
        <f>1+1+1+1+1+1+1+1+1+1+1+1+1+1+1+1+1+1+1+1+1+1+1+1+1+1+1+1+1+1+1+1+1+1+1+1+1+1+1+1+1+1+1+1+1+1+1+1+1
+1+1+1+1+1+1+1+1+1+1+1+1</f>
        <v>61</v>
      </c>
      <c r="AB16" s="31">
        <f>1+1+1+1+1+1+1+1+1+1+1+1+1+1+1+1+1+1+1+1+1+1+1+1+1+1+1+1+1+1+1+1+1+1+1+1+1+1+1+1+1+1+1+1+1</f>
        <v>45</v>
      </c>
      <c r="AC16" s="31">
        <f>1+1+1+1+1+1+1+1+1+1+1+1+1+1+1+1+1+1+1+1+1+1+1+1+1+1+1+1+1+1+1+1+1+1+1+1+1+1+1+1+1+1+1+1+1</f>
        <v>45</v>
      </c>
      <c r="AD16" s="31">
        <f>1+1</f>
        <v>2</v>
      </c>
      <c r="AE16" s="37">
        <v>0</v>
      </c>
      <c r="AF16" s="42">
        <f t="shared" si="1"/>
        <v>153</v>
      </c>
    </row>
    <row r="17" spans="1:32" x14ac:dyDescent="0.25">
      <c r="A17" s="14" t="s">
        <v>31</v>
      </c>
      <c r="B17" s="23" t="s">
        <v>110</v>
      </c>
      <c r="C17" s="23" t="s">
        <v>115</v>
      </c>
      <c r="D17" s="23" t="s">
        <v>119</v>
      </c>
      <c r="E17" s="20">
        <v>0</v>
      </c>
      <c r="F17" s="4">
        <f>1</f>
        <v>1</v>
      </c>
      <c r="G17" s="4">
        <v>0</v>
      </c>
      <c r="H17" s="4">
        <v>0</v>
      </c>
      <c r="I17" s="40">
        <f>1+1</f>
        <v>2</v>
      </c>
      <c r="J17" s="41">
        <f t="shared" si="2"/>
        <v>3</v>
      </c>
      <c r="L17" s="14" t="s">
        <v>60</v>
      </c>
      <c r="M17" s="23" t="s">
        <v>111</v>
      </c>
      <c r="N17" s="23" t="s">
        <v>115</v>
      </c>
      <c r="O17" s="23" t="s">
        <v>120</v>
      </c>
      <c r="P17" s="8">
        <v>0</v>
      </c>
      <c r="Q17" s="2">
        <v>0</v>
      </c>
      <c r="R17" s="2">
        <f>1+1+1+1+1+1+1+1+1+1+1+1+1+1+1+1+1+1+1+1+1+1+1</f>
        <v>23</v>
      </c>
      <c r="S17" s="2">
        <v>0</v>
      </c>
      <c r="T17" s="36">
        <v>0</v>
      </c>
      <c r="U17" s="41">
        <f t="shared" si="0"/>
        <v>23</v>
      </c>
      <c r="W17" s="25" t="s">
        <v>93</v>
      </c>
      <c r="X17" s="26" t="s">
        <v>112</v>
      </c>
      <c r="Y17" s="26" t="s">
        <v>115</v>
      </c>
      <c r="Z17" s="26" t="s">
        <v>120</v>
      </c>
      <c r="AA17" s="30">
        <f>1+1+1+1+1+1+1+1+1+1+1+1+1+1+1+1+1+1+1+1+1+1+1+1+1+1+1+1+1+1+1+1+1+1+1+1+1+1+1+1+1+1+1+1+1+1+1+1+1+1+1+1+1+1+1+1+1+1+1+1+1+1+1</f>
        <v>63</v>
      </c>
      <c r="AB17" s="31">
        <f>1+1+1+1+1+1+1+1+1+1+1+1+1+1+1+1+1+1+1+1+1+1+1+1+1+1+1+1+1+1+1+1+1+1+1+1+1+1+1+1+1+1+1+1+1+1+1+1+1+1+1+1</f>
        <v>52</v>
      </c>
      <c r="AC17" s="31">
        <f>1+1+1+1+1+1+1+1+1+1+1+1+1+1+1+1+1+1+1+1+1+1+1+1+1+1+1+1+1+1+1+1+1+1+1+1+1+1+1+1+1+1+1</f>
        <v>43</v>
      </c>
      <c r="AD17" s="31">
        <v>0</v>
      </c>
      <c r="AE17" s="37">
        <v>0</v>
      </c>
      <c r="AF17" s="42">
        <f t="shared" si="1"/>
        <v>158</v>
      </c>
    </row>
    <row r="18" spans="1:32" x14ac:dyDescent="0.25">
      <c r="A18" s="14" t="s">
        <v>32</v>
      </c>
      <c r="B18" s="23" t="s">
        <v>110</v>
      </c>
      <c r="C18" s="23" t="s">
        <v>115</v>
      </c>
      <c r="D18" s="23" t="s">
        <v>119</v>
      </c>
      <c r="E18" s="20">
        <f>1+1+1</f>
        <v>3</v>
      </c>
      <c r="F18" s="4">
        <f>1+1+1+1+1+1+1+1+1</f>
        <v>9</v>
      </c>
      <c r="G18" s="4">
        <f>1+1+1</f>
        <v>3</v>
      </c>
      <c r="H18" s="4">
        <f>1+1</f>
        <v>2</v>
      </c>
      <c r="I18" s="40">
        <f>1+1+1+1+1+1+1+1+1+1+1+1+1+1+1+1+1+1+1+1+1+1+1</f>
        <v>23</v>
      </c>
      <c r="J18" s="41">
        <f t="shared" si="2"/>
        <v>40</v>
      </c>
      <c r="L18" s="14" t="s">
        <v>61</v>
      </c>
      <c r="M18" s="23" t="s">
        <v>111</v>
      </c>
      <c r="N18" s="23" t="s">
        <v>115</v>
      </c>
      <c r="O18" s="23" t="s">
        <v>120</v>
      </c>
      <c r="P18" s="8">
        <f>1+1+1</f>
        <v>3</v>
      </c>
      <c r="Q18" s="2">
        <v>0</v>
      </c>
      <c r="R18" s="2">
        <f>1+1+1+1+1+1+1+1</f>
        <v>8</v>
      </c>
      <c r="S18" s="2">
        <v>0</v>
      </c>
      <c r="T18" s="36">
        <v>0</v>
      </c>
      <c r="U18" s="41">
        <f t="shared" si="0"/>
        <v>11</v>
      </c>
      <c r="W18" s="25" t="s">
        <v>94</v>
      </c>
      <c r="X18" s="26" t="s">
        <v>112</v>
      </c>
      <c r="Y18" s="26" t="s">
        <v>115</v>
      </c>
      <c r="Z18" s="26" t="s">
        <v>120</v>
      </c>
      <c r="AA18" s="30">
        <f>1+1+1+1+1+1+1+1+1+1+1+1+1+1+1+1+1+1+1+1+1+1+1+1+1+1+1+1+1+1
+1+1+1+1+1+1+1+1+1+1+1+1+1+1+1+1+1+1+1+1+1+1+1+1</f>
        <v>54</v>
      </c>
      <c r="AB18" s="31">
        <f>1+1+1+1+1+1+1+1+1+1+1+1+1+1+1+1+1+1+1+1+1+1+1+1+1+1+1+1+1+1+1+1+1+1+1+1+1+1+1+1+1+1</f>
        <v>42</v>
      </c>
      <c r="AC18" s="31">
        <f>1+1+1+1+1+1+1+1+1+1+1+1+1+1+1+1+1+1+1+1+1+1+1+1+1+1+1+1+1+1+1+1+1+1+1</f>
        <v>35</v>
      </c>
      <c r="AD18" s="31">
        <v>0</v>
      </c>
      <c r="AE18" s="37">
        <v>0</v>
      </c>
      <c r="AF18" s="42">
        <f t="shared" si="1"/>
        <v>131</v>
      </c>
    </row>
    <row r="19" spans="1:32" x14ac:dyDescent="0.25">
      <c r="A19" s="14" t="s">
        <v>33</v>
      </c>
      <c r="B19" s="23" t="s">
        <v>110</v>
      </c>
      <c r="C19" s="23" t="s">
        <v>115</v>
      </c>
      <c r="D19" s="23" t="s">
        <v>119</v>
      </c>
      <c r="E19" s="20">
        <v>0</v>
      </c>
      <c r="F19" s="4">
        <v>0</v>
      </c>
      <c r="G19" s="4">
        <v>0</v>
      </c>
      <c r="H19" s="4">
        <v>0</v>
      </c>
      <c r="I19" s="40">
        <v>1</v>
      </c>
      <c r="J19" s="41">
        <f t="shared" si="2"/>
        <v>1</v>
      </c>
      <c r="L19" s="14" t="s">
        <v>62</v>
      </c>
      <c r="M19" s="23" t="s">
        <v>111</v>
      </c>
      <c r="N19" s="23" t="s">
        <v>115</v>
      </c>
      <c r="O19" s="23" t="s">
        <v>120</v>
      </c>
      <c r="P19" s="8">
        <f>1+1+1+1+1+1+1+1+1+1+1+1+1+1+1+1+1+1+1+1+1+1+1+1+1+1+1+1+1+1+1+1+1+1+1+1+1+1+1+1+1+1+1+1+1+1+1+1+1+1+1+1+1</f>
        <v>53</v>
      </c>
      <c r="Q19" s="2">
        <f>1+1</f>
        <v>2</v>
      </c>
      <c r="R19" s="2">
        <f>1+1+1+1+1+1+1+1+1+1+1+1+1+1+1+1+1+1+1+1+1+1+1+1+1+1+1+1</f>
        <v>28</v>
      </c>
      <c r="S19" s="2">
        <v>0</v>
      </c>
      <c r="T19" s="36">
        <v>0</v>
      </c>
      <c r="U19" s="41">
        <f t="shared" si="0"/>
        <v>83</v>
      </c>
      <c r="W19" s="14" t="s">
        <v>95</v>
      </c>
      <c r="X19" s="23" t="s">
        <v>112</v>
      </c>
      <c r="Y19" s="23" t="s">
        <v>116</v>
      </c>
      <c r="Z19" s="23" t="s">
        <v>119</v>
      </c>
      <c r="AA19" s="8">
        <f>1+1+ 1</f>
        <v>3</v>
      </c>
      <c r="AB19" s="2">
        <f>1+1+1+1</f>
        <v>4</v>
      </c>
      <c r="AC19" s="2">
        <f>1+1+1+1+1+1+1+1+1+1</f>
        <v>10</v>
      </c>
      <c r="AD19" s="2">
        <f>1+1+1+1+1+1+1+1+1+1+1+1+1+1+1+1+1+1+1+1+1+1+1+1+1</f>
        <v>25</v>
      </c>
      <c r="AE19" s="36">
        <v>0</v>
      </c>
      <c r="AF19" s="41">
        <f t="shared" si="1"/>
        <v>42</v>
      </c>
    </row>
    <row r="20" spans="1:32" x14ac:dyDescent="0.25">
      <c r="A20" s="14" t="s">
        <v>34</v>
      </c>
      <c r="B20" s="23" t="s">
        <v>110</v>
      </c>
      <c r="C20" s="23" t="s">
        <v>115</v>
      </c>
      <c r="D20" s="23" t="s">
        <v>119</v>
      </c>
      <c r="E20" s="20">
        <v>0</v>
      </c>
      <c r="F20" s="4">
        <v>0</v>
      </c>
      <c r="G20" s="4">
        <v>0</v>
      </c>
      <c r="H20" s="4">
        <v>0</v>
      </c>
      <c r="I20" s="40">
        <v>0</v>
      </c>
      <c r="J20" s="41">
        <f t="shared" si="2"/>
        <v>0</v>
      </c>
      <c r="L20" s="14" t="s">
        <v>63</v>
      </c>
      <c r="M20" s="23" t="s">
        <v>111</v>
      </c>
      <c r="N20" s="23" t="s">
        <v>115</v>
      </c>
      <c r="O20" s="23" t="s">
        <v>120</v>
      </c>
      <c r="P20" s="8">
        <f>1+1+1+1+1+1+1+1+1+1+1+1+1+1+1+1+1+1+1+1+1+1+1+1+1+1+1+1+1+1+1+1+1+1+1+1+1+1+1+1+1+1+1+1+1+1</f>
        <v>46</v>
      </c>
      <c r="Q20" s="2">
        <f>1+1</f>
        <v>2</v>
      </c>
      <c r="R20" s="2">
        <f>1+1+1+1+1+1+1+1+1+1+1+1+1+1+1+1+1+1+1+1+1</f>
        <v>21</v>
      </c>
      <c r="S20" s="2">
        <v>0</v>
      </c>
      <c r="T20" s="36">
        <v>0</v>
      </c>
      <c r="U20" s="41">
        <f t="shared" si="0"/>
        <v>69</v>
      </c>
      <c r="W20" s="14" t="s">
        <v>96</v>
      </c>
      <c r="X20" s="23" t="s">
        <v>112</v>
      </c>
      <c r="Y20" s="23" t="s">
        <v>115</v>
      </c>
      <c r="Z20" s="23" t="s">
        <v>119</v>
      </c>
      <c r="AA20" s="8">
        <f>1+1+1+1+1</f>
        <v>5</v>
      </c>
      <c r="AB20" s="2">
        <v>0</v>
      </c>
      <c r="AC20" s="2">
        <v>0</v>
      </c>
      <c r="AD20" s="2">
        <v>0</v>
      </c>
      <c r="AE20" s="36">
        <v>0</v>
      </c>
      <c r="AF20" s="41">
        <f t="shared" si="1"/>
        <v>5</v>
      </c>
    </row>
    <row r="21" spans="1:32" x14ac:dyDescent="0.25">
      <c r="A21" s="14" t="s">
        <v>35</v>
      </c>
      <c r="B21" s="23" t="s">
        <v>110</v>
      </c>
      <c r="C21" s="23" t="s">
        <v>115</v>
      </c>
      <c r="D21" s="23" t="s">
        <v>119</v>
      </c>
      <c r="E21" s="20">
        <v>0</v>
      </c>
      <c r="F21" s="4">
        <v>0</v>
      </c>
      <c r="G21" s="4">
        <v>0</v>
      </c>
      <c r="H21" s="4">
        <v>0</v>
      </c>
      <c r="I21" s="40">
        <v>0</v>
      </c>
      <c r="J21" s="41">
        <f t="shared" si="2"/>
        <v>0</v>
      </c>
      <c r="L21" s="14" t="s">
        <v>64</v>
      </c>
      <c r="M21" s="23" t="s">
        <v>111</v>
      </c>
      <c r="N21" s="23" t="s">
        <v>115</v>
      </c>
      <c r="O21" s="23" t="s">
        <v>120</v>
      </c>
      <c r="P21" s="8">
        <f>1+1+1+1+1+1+1+1+1+1+1+1+1+1+1+1+1+1+1+1+1+1+1+1+1+1+1+1+1+1+1+1+1+1+1+1+1+1+1+1+1+1+1+1+1+1+1+1+1+1+1+1</f>
        <v>52</v>
      </c>
      <c r="Q21" s="2">
        <f>1+1+1</f>
        <v>3</v>
      </c>
      <c r="R21" s="2">
        <f>1+1+1+1+1+1+1+1+1+1+1+1+1+1+1+1+1+1+1+1+1+1+1</f>
        <v>23</v>
      </c>
      <c r="S21" s="2">
        <v>0</v>
      </c>
      <c r="T21" s="36">
        <v>0</v>
      </c>
      <c r="U21" s="41">
        <f t="shared" si="0"/>
        <v>78</v>
      </c>
      <c r="W21" s="14" t="s">
        <v>97</v>
      </c>
      <c r="X21" s="23" t="s">
        <v>112</v>
      </c>
      <c r="Y21" s="23" t="s">
        <v>117</v>
      </c>
      <c r="Z21" s="23" t="s">
        <v>119</v>
      </c>
      <c r="AA21" s="8">
        <v>0</v>
      </c>
      <c r="AB21" s="2">
        <v>0</v>
      </c>
      <c r="AC21" s="2">
        <v>0</v>
      </c>
      <c r="AD21" s="2">
        <v>0</v>
      </c>
      <c r="AE21" s="36">
        <v>0</v>
      </c>
      <c r="AF21" s="41">
        <f t="shared" si="1"/>
        <v>0</v>
      </c>
    </row>
    <row r="22" spans="1:32" x14ac:dyDescent="0.25">
      <c r="A22" s="14" t="s">
        <v>36</v>
      </c>
      <c r="B22" s="23" t="s">
        <v>110</v>
      </c>
      <c r="C22" s="23" t="s">
        <v>115</v>
      </c>
      <c r="D22" s="23" t="s">
        <v>119</v>
      </c>
      <c r="E22" s="20">
        <v>0</v>
      </c>
      <c r="F22" s="4">
        <v>0</v>
      </c>
      <c r="G22" s="4">
        <v>0</v>
      </c>
      <c r="H22" s="4">
        <v>0</v>
      </c>
      <c r="I22" s="40">
        <v>0</v>
      </c>
      <c r="J22" s="41">
        <f t="shared" si="2"/>
        <v>0</v>
      </c>
      <c r="L22" s="14" t="s">
        <v>65</v>
      </c>
      <c r="M22" s="23" t="s">
        <v>111</v>
      </c>
      <c r="N22" s="23" t="s">
        <v>115</v>
      </c>
      <c r="O22" s="23" t="s">
        <v>120</v>
      </c>
      <c r="P22" s="8">
        <f>1+1+1+1+1+1+1+1+1+1+1+1+1+1+1+1+1+1+1+1+1+1+1+1+1+1+1+1+1+1+1+1+1+1+1+1+1+1+1+1+1+1+1+1+1+1+1+1+1+1+1+1+1+1+1+1+1+1+1</f>
        <v>59</v>
      </c>
      <c r="Q22" s="2">
        <f>1+1+1+1</f>
        <v>4</v>
      </c>
      <c r="R22" s="2">
        <f>1+1+1+1+1+1+1+1+1+1+1+1+1+1+1+1+1+1+1+1+1+1+1+1+1+1+1+1+1+1</f>
        <v>30</v>
      </c>
      <c r="S22" s="2">
        <v>0</v>
      </c>
      <c r="T22" s="36">
        <v>0</v>
      </c>
      <c r="U22" s="41">
        <f t="shared" si="0"/>
        <v>93</v>
      </c>
      <c r="W22" s="14" t="s">
        <v>98</v>
      </c>
      <c r="X22" s="23" t="s">
        <v>112</v>
      </c>
      <c r="Y22" s="23" t="s">
        <v>117</v>
      </c>
      <c r="Z22" s="23" t="s">
        <v>119</v>
      </c>
      <c r="AA22" s="8">
        <v>0</v>
      </c>
      <c r="AB22" s="2">
        <f>1+1</f>
        <v>2</v>
      </c>
      <c r="AC22" s="2">
        <v>0</v>
      </c>
      <c r="AD22" s="2">
        <f>1+1+1+1+1+1</f>
        <v>6</v>
      </c>
      <c r="AE22" s="36">
        <v>0</v>
      </c>
      <c r="AF22" s="41">
        <f t="shared" si="1"/>
        <v>8</v>
      </c>
    </row>
    <row r="23" spans="1:32" x14ac:dyDescent="0.25">
      <c r="A23" s="14" t="s">
        <v>37</v>
      </c>
      <c r="B23" s="23" t="s">
        <v>110</v>
      </c>
      <c r="C23" s="23" t="s">
        <v>115</v>
      </c>
      <c r="D23" s="23" t="s">
        <v>119</v>
      </c>
      <c r="E23" s="20">
        <v>0</v>
      </c>
      <c r="F23" s="4">
        <v>0</v>
      </c>
      <c r="G23" s="4">
        <v>0</v>
      </c>
      <c r="H23" s="4">
        <v>0</v>
      </c>
      <c r="I23" s="40">
        <v>1</v>
      </c>
      <c r="J23" s="41">
        <f t="shared" si="2"/>
        <v>1</v>
      </c>
      <c r="L23" s="25" t="s">
        <v>66</v>
      </c>
      <c r="M23" s="26" t="s">
        <v>111</v>
      </c>
      <c r="N23" s="26" t="s">
        <v>115</v>
      </c>
      <c r="O23" s="26" t="s">
        <v>120</v>
      </c>
      <c r="P23" s="30">
        <v>1</v>
      </c>
      <c r="Q23" s="31">
        <f>1+1+1+1+1+1+1+1+1+1+1+1+1+1+1+1+1+1+1+1+1+1+1+1+1+1+1+1+1+1+1+1+1+1+1+1+1+1+1+1+1+1+1+1+1+1+1+1+1</f>
        <v>49</v>
      </c>
      <c r="R23" s="31">
        <f>1+1+1+1+1+1+1+1+1+1+1+1+1+1+1+1+1+1+1+1+1+1+1+1+1+1+1+1+1+1+1+1+1+1+1+1+1+1+1+1+1+1+1+1+1+1+1+1+1+1+1+1+1+1+1+1+1+1+1+1+1+1</f>
        <v>62</v>
      </c>
      <c r="S23" s="31">
        <f>1+1</f>
        <v>2</v>
      </c>
      <c r="T23" s="37">
        <v>0</v>
      </c>
      <c r="U23" s="42">
        <f t="shared" si="0"/>
        <v>114</v>
      </c>
      <c r="W23" s="14" t="s">
        <v>99</v>
      </c>
      <c r="X23" s="23" t="s">
        <v>112</v>
      </c>
      <c r="Y23" s="23" t="s">
        <v>116</v>
      </c>
      <c r="Z23" s="23" t="s">
        <v>119</v>
      </c>
      <c r="AA23" s="8">
        <v>0</v>
      </c>
      <c r="AB23" s="2">
        <v>0</v>
      </c>
      <c r="AC23" s="2">
        <v>0</v>
      </c>
      <c r="AD23" s="2">
        <f>1</f>
        <v>1</v>
      </c>
      <c r="AE23" s="6">
        <v>0</v>
      </c>
      <c r="AF23" s="41">
        <f t="shared" si="1"/>
        <v>1</v>
      </c>
    </row>
    <row r="24" spans="1:32" x14ac:dyDescent="0.25">
      <c r="A24" s="14" t="s">
        <v>38</v>
      </c>
      <c r="B24" s="23" t="s">
        <v>110</v>
      </c>
      <c r="C24" s="23" t="s">
        <v>115</v>
      </c>
      <c r="D24" s="23" t="s">
        <v>119</v>
      </c>
      <c r="E24" s="20">
        <v>0</v>
      </c>
      <c r="F24" s="4">
        <v>0</v>
      </c>
      <c r="G24" s="4">
        <v>0</v>
      </c>
      <c r="H24" s="4">
        <v>0</v>
      </c>
      <c r="I24" s="40">
        <v>0</v>
      </c>
      <c r="J24" s="41">
        <f t="shared" si="2"/>
        <v>0</v>
      </c>
      <c r="L24" s="25" t="s">
        <v>67</v>
      </c>
      <c r="M24" s="26" t="s">
        <v>111</v>
      </c>
      <c r="N24" s="26" t="s">
        <v>115</v>
      </c>
      <c r="O24" s="26" t="s">
        <v>120</v>
      </c>
      <c r="P24" s="30">
        <v>1</v>
      </c>
      <c r="Q24" s="31">
        <f>1+1+1+1+1+1+1+1+1+1+1+1+1+1+1+1+1+1+1+1+1+1+1+1+1+1+1+1+1+1+1+1+1+1+1+1+1+1+1+1+1+1+1+1+1+1+1+1+1</f>
        <v>49</v>
      </c>
      <c r="R24" s="31">
        <f>1+1+1+1+1+1+1+1+1+1+1+1+1+1+1+1+1+1+1+1+1+1+1 +1+1+1+1+1+1+1+1+1+1+1+1+1+1+1+1+1+1+1+1+1+1+1+1+1+1+1+1+1+1+1+1+1+1+1+1+1</f>
        <v>60</v>
      </c>
      <c r="S24" s="31">
        <f>1+1+1</f>
        <v>3</v>
      </c>
      <c r="T24" s="37">
        <v>0</v>
      </c>
      <c r="U24" s="42">
        <f t="shared" si="0"/>
        <v>113</v>
      </c>
      <c r="W24" s="14" t="s">
        <v>100</v>
      </c>
      <c r="X24" s="23" t="s">
        <v>112</v>
      </c>
      <c r="Y24" s="23" t="s">
        <v>115</v>
      </c>
      <c r="Z24" s="23" t="s">
        <v>119</v>
      </c>
      <c r="AA24" s="8">
        <v>0</v>
      </c>
      <c r="AB24" s="2">
        <v>0</v>
      </c>
      <c r="AC24" s="2">
        <v>0</v>
      </c>
      <c r="AD24" s="2">
        <v>0</v>
      </c>
      <c r="AE24" s="36">
        <v>0</v>
      </c>
      <c r="AF24" s="41">
        <f t="shared" si="1"/>
        <v>0</v>
      </c>
    </row>
    <row r="25" spans="1:32" x14ac:dyDescent="0.25">
      <c r="A25" s="14" t="s">
        <v>39</v>
      </c>
      <c r="B25" s="23" t="s">
        <v>110</v>
      </c>
      <c r="C25" s="23" t="s">
        <v>115</v>
      </c>
      <c r="D25" s="23" t="s">
        <v>119</v>
      </c>
      <c r="E25" s="20">
        <v>0</v>
      </c>
      <c r="F25" s="4">
        <v>0</v>
      </c>
      <c r="G25" s="4">
        <v>0</v>
      </c>
      <c r="H25" s="4">
        <v>0</v>
      </c>
      <c r="I25" s="40">
        <v>0</v>
      </c>
      <c r="J25" s="41">
        <f t="shared" si="2"/>
        <v>0</v>
      </c>
      <c r="L25" s="25" t="s">
        <v>68</v>
      </c>
      <c r="M25" s="26" t="s">
        <v>111</v>
      </c>
      <c r="N25" s="26" t="s">
        <v>115</v>
      </c>
      <c r="O25" s="26" t="s">
        <v>120</v>
      </c>
      <c r="P25" s="30">
        <v>0</v>
      </c>
      <c r="Q25" s="31">
        <f>1+1+1+1+1+1+1+1+1+1+1+1+1+1+1+1+1+1+1+1+1+1+1+1+1+1+1+1+1+1+1+1+1+1+1+1+1+1+1+1+1+1+1+1+1</f>
        <v>45</v>
      </c>
      <c r="R25" s="31">
        <f>1+1+1+1+1+1+1+1+1+1+1+1+1+1+1+1+1+1+1+1+1+1+1+1+1+1+1+1+1+1+1+1+1+1+1+1+1+1+1+1+1+1+1+1+1+1+1+1+1+1+1+1+1+1+1+1+1+1+1+1+1+1</f>
        <v>62</v>
      </c>
      <c r="S25" s="31">
        <v>0</v>
      </c>
      <c r="T25" s="37">
        <v>0</v>
      </c>
      <c r="U25" s="42">
        <f t="shared" si="0"/>
        <v>107</v>
      </c>
      <c r="W25" s="14" t="s">
        <v>101</v>
      </c>
      <c r="X25" s="23" t="s">
        <v>112</v>
      </c>
      <c r="Y25" s="23" t="s">
        <v>116</v>
      </c>
      <c r="Z25" s="23" t="s">
        <v>119</v>
      </c>
      <c r="AA25" s="8">
        <v>0</v>
      </c>
      <c r="AB25" s="2">
        <v>0</v>
      </c>
      <c r="AC25" s="2">
        <v>1</v>
      </c>
      <c r="AD25" s="2">
        <v>0</v>
      </c>
      <c r="AE25" s="36">
        <f>1+1+1+1+1+1+1+1+1+1+1+ 1</f>
        <v>12</v>
      </c>
      <c r="AF25" s="41">
        <f t="shared" si="1"/>
        <v>13</v>
      </c>
    </row>
    <row r="26" spans="1:32" x14ac:dyDescent="0.25">
      <c r="A26" s="14" t="s">
        <v>40</v>
      </c>
      <c r="B26" s="23" t="s">
        <v>110</v>
      </c>
      <c r="C26" s="23" t="s">
        <v>115</v>
      </c>
      <c r="D26" s="23" t="s">
        <v>120</v>
      </c>
      <c r="E26" s="20">
        <f>1+1+1+1+1+1+1+1+1+1+1+1+1+1+1+1+1+1+1+1+1+1+1+1+1+1+1+ 1+1+1+1+1+1+1+1+1+1</f>
        <v>37</v>
      </c>
      <c r="F26" s="4">
        <f>1+1+1+1+1+1+1+1</f>
        <v>8</v>
      </c>
      <c r="G26" s="5">
        <f>3+1+1+1+1</f>
        <v>7</v>
      </c>
      <c r="H26" s="4">
        <f>2+1+1</f>
        <v>4</v>
      </c>
      <c r="I26" s="40">
        <f>1+1</f>
        <v>2</v>
      </c>
      <c r="J26" s="41">
        <f t="shared" si="2"/>
        <v>58</v>
      </c>
      <c r="L26" s="25" t="s">
        <v>69</v>
      </c>
      <c r="M26" s="26" t="s">
        <v>111</v>
      </c>
      <c r="N26" s="26" t="s">
        <v>115</v>
      </c>
      <c r="O26" s="26" t="s">
        <v>120</v>
      </c>
      <c r="P26" s="30">
        <v>0</v>
      </c>
      <c r="Q26" s="31">
        <f>1+1+1+1+1+1+1+1+1+1+1+1+1+1+1+1+1+1+1+1+1+1+1+1+1+1+1+1+1+1+1+1+1+1+1+1+1+1+1+1+1</f>
        <v>41</v>
      </c>
      <c r="R26" s="31">
        <f>1+1+1+1+1+1+1+1+1+1+1+1+1+1+1+1+1+1+1+1+1+1+1 +1+1+1+1+1+1+1+1+1+1+1+1+1+1+1+1+1+1+1+1+1+1+1+1+1+1+1+1+1+1+1+1+1+1+1+1+1+1</f>
        <v>61</v>
      </c>
      <c r="S26" s="31">
        <v>0</v>
      </c>
      <c r="T26" s="37">
        <v>0</v>
      </c>
      <c r="U26" s="42">
        <f t="shared" si="0"/>
        <v>102</v>
      </c>
      <c r="W26" s="14" t="s">
        <v>102</v>
      </c>
      <c r="X26" s="23" t="s">
        <v>112</v>
      </c>
      <c r="Y26" s="23" t="s">
        <v>116</v>
      </c>
      <c r="Z26" s="23" t="s">
        <v>120</v>
      </c>
      <c r="AA26" s="8">
        <f>1+1+1+1</f>
        <v>4</v>
      </c>
      <c r="AB26" s="2">
        <v>0</v>
      </c>
      <c r="AC26" s="2">
        <f>1</f>
        <v>1</v>
      </c>
      <c r="AD26" s="2">
        <f>1+1+ 1</f>
        <v>3</v>
      </c>
      <c r="AE26" s="36">
        <v>0</v>
      </c>
      <c r="AF26" s="41">
        <f t="shared" si="1"/>
        <v>8</v>
      </c>
    </row>
    <row r="27" spans="1:32" x14ac:dyDescent="0.25">
      <c r="A27" s="14" t="s">
        <v>41</v>
      </c>
      <c r="B27" s="23" t="s">
        <v>110</v>
      </c>
      <c r="C27" s="23" t="s">
        <v>115</v>
      </c>
      <c r="D27" s="23" t="s">
        <v>119</v>
      </c>
      <c r="E27" s="20">
        <v>0</v>
      </c>
      <c r="F27" s="4">
        <v>0</v>
      </c>
      <c r="G27" s="4">
        <v>0</v>
      </c>
      <c r="H27" s="4">
        <v>0</v>
      </c>
      <c r="I27" s="40">
        <v>0</v>
      </c>
      <c r="J27" s="41">
        <f t="shared" si="2"/>
        <v>0</v>
      </c>
      <c r="L27" s="25" t="s">
        <v>70</v>
      </c>
      <c r="M27" s="26" t="s">
        <v>111</v>
      </c>
      <c r="N27" s="26" t="s">
        <v>115</v>
      </c>
      <c r="O27" s="26" t="s">
        <v>120</v>
      </c>
      <c r="P27" s="30">
        <v>0</v>
      </c>
      <c r="Q27" s="31">
        <f>1+1+1+1+1+1+1+1+1+1+1+1+1+1+1+1+1+1+1+1+1+1+1+1+1+1+1+1+1+1+1+1+1+1+1+1+1+1+1+1+1+1+1+1</f>
        <v>44</v>
      </c>
      <c r="R27" s="31">
        <f>1+1+1+1+1+1+1+1+1+1+1+1+1+1+1+1+1+1+1+1+1+1+1 +1+1+1+1+1+1+1+1+1+1+1+1+1+1+1+1+1+1+1+1+1+1+1+1+1+1+1+1+1+1+1+1+1+1+1+1+1+1</f>
        <v>61</v>
      </c>
      <c r="S27" s="31">
        <v>0</v>
      </c>
      <c r="T27" s="37">
        <v>0</v>
      </c>
      <c r="U27" s="42">
        <f t="shared" si="0"/>
        <v>105</v>
      </c>
      <c r="W27" s="14" t="s">
        <v>103</v>
      </c>
      <c r="X27" s="23" t="s">
        <v>112</v>
      </c>
      <c r="Y27" s="23" t="s">
        <v>116</v>
      </c>
      <c r="Z27" s="23" t="s">
        <v>120</v>
      </c>
      <c r="AA27" s="8">
        <v>0</v>
      </c>
      <c r="AB27" s="2">
        <v>0</v>
      </c>
      <c r="AC27" s="2">
        <v>0</v>
      </c>
      <c r="AD27" s="2">
        <f>1+1+ 1</f>
        <v>3</v>
      </c>
      <c r="AE27" s="36">
        <v>0</v>
      </c>
      <c r="AF27" s="41">
        <f t="shared" si="1"/>
        <v>3</v>
      </c>
    </row>
    <row r="28" spans="1:32" x14ac:dyDescent="0.25">
      <c r="A28" s="14" t="s">
        <v>42</v>
      </c>
      <c r="B28" s="23" t="s">
        <v>110</v>
      </c>
      <c r="C28" s="23" t="s">
        <v>115</v>
      </c>
      <c r="D28" s="23" t="s">
        <v>119</v>
      </c>
      <c r="E28" s="20">
        <v>0</v>
      </c>
      <c r="F28" s="4">
        <v>0</v>
      </c>
      <c r="G28" s="4">
        <v>0</v>
      </c>
      <c r="H28" s="4">
        <v>0</v>
      </c>
      <c r="I28" s="40">
        <v>0</v>
      </c>
      <c r="J28" s="41">
        <f t="shared" si="2"/>
        <v>0</v>
      </c>
      <c r="L28" s="14" t="s">
        <v>71</v>
      </c>
      <c r="M28" s="23" t="s">
        <v>111</v>
      </c>
      <c r="N28" s="23" t="s">
        <v>115</v>
      </c>
      <c r="O28" s="23" t="s">
        <v>120</v>
      </c>
      <c r="P28" s="8">
        <v>0</v>
      </c>
      <c r="Q28" s="2">
        <f>1+1+1+1+1+1+1+1+1+1+1+1+1+1+1</f>
        <v>15</v>
      </c>
      <c r="R28" s="2">
        <f>1+1+1+1+1+1+1+1+1+1+1+1+1+1+1+1+1+1+1+1+1+1+1+1+1+1+1+1+1+1+1+1+1+1+1+1+1+1+1+1+1+1+1+1+1</f>
        <v>45</v>
      </c>
      <c r="S28" s="2">
        <v>0</v>
      </c>
      <c r="T28" s="36">
        <v>0</v>
      </c>
      <c r="U28" s="41">
        <f t="shared" si="0"/>
        <v>60</v>
      </c>
      <c r="W28" s="25" t="s">
        <v>104</v>
      </c>
      <c r="X28" s="26" t="s">
        <v>112</v>
      </c>
      <c r="Y28" s="26" t="s">
        <v>116</v>
      </c>
      <c r="Z28" s="26" t="s">
        <v>120</v>
      </c>
      <c r="AA28" s="30">
        <f>1+1+1+1+1+1+1+1+1+1+1+1+1+1+1+1+1+1+1+1+1+1+1+1+1+1+1+1+1+1+1+1+1+1+1+1+1+1+1+1+1+1+1+1+1+1+1+1+1+1+1+1
+1</f>
        <v>53</v>
      </c>
      <c r="AB28" s="31">
        <f>1+1+1+1+1+1+1+1+1+1+1+1+1+1+1+1+1+1+1+1+1+1+1+1+1+1+1+1+1+1+1+1+1+1+1+1+1+1+1+1+1+1+1+1+1</f>
        <v>45</v>
      </c>
      <c r="AC28" s="31">
        <f>1+1+1+1+1+1+1+1+1+1+1+1+1+1+1+1+1+1+1+1+1+1+1+1+1+1+1+1+1+1+1+1+1+1+1+1+1+1</f>
        <v>38</v>
      </c>
      <c r="AD28" s="31">
        <f>1+1+1+1</f>
        <v>4</v>
      </c>
      <c r="AE28" s="37">
        <v>0</v>
      </c>
      <c r="AF28" s="42">
        <f t="shared" si="1"/>
        <v>140</v>
      </c>
    </row>
    <row r="29" spans="1:32" x14ac:dyDescent="0.25">
      <c r="A29" s="15" t="s">
        <v>43</v>
      </c>
      <c r="B29" s="23" t="s">
        <v>110</v>
      </c>
      <c r="C29" s="23" t="s">
        <v>115</v>
      </c>
      <c r="D29" s="23" t="s">
        <v>119</v>
      </c>
      <c r="E29" s="20">
        <v>0</v>
      </c>
      <c r="F29" s="4">
        <v>0</v>
      </c>
      <c r="G29" s="4">
        <v>0</v>
      </c>
      <c r="H29" s="4">
        <v>0</v>
      </c>
      <c r="I29" s="40">
        <v>0</v>
      </c>
      <c r="J29" s="41">
        <f t="shared" si="2"/>
        <v>0</v>
      </c>
      <c r="L29" s="14" t="s">
        <v>72</v>
      </c>
      <c r="M29" s="23" t="s">
        <v>111</v>
      </c>
      <c r="N29" s="23" t="s">
        <v>115</v>
      </c>
      <c r="O29" s="23" t="s">
        <v>120</v>
      </c>
      <c r="P29" s="8">
        <v>0</v>
      </c>
      <c r="Q29" s="2">
        <f>1+1+1+1+1+1+1</f>
        <v>7</v>
      </c>
      <c r="R29" s="2">
        <f>1+1+1+1+ 1+1+1+1+1+1+1+1+1+1+1+1+1</f>
        <v>17</v>
      </c>
      <c r="S29" s="2">
        <v>0</v>
      </c>
      <c r="T29" s="36">
        <v>0</v>
      </c>
      <c r="U29" s="41">
        <f t="shared" si="0"/>
        <v>24</v>
      </c>
      <c r="W29" s="14" t="s">
        <v>105</v>
      </c>
      <c r="X29" s="23" t="s">
        <v>112</v>
      </c>
      <c r="Y29" s="23" t="s">
        <v>117</v>
      </c>
      <c r="Z29" s="23" t="s">
        <v>120</v>
      </c>
      <c r="AA29" s="8">
        <f>1+1+1+1+1+1+1+1+1+1+1+1+1</f>
        <v>13</v>
      </c>
      <c r="AB29" s="2">
        <f>1+1+1+1+1+1+1+1</f>
        <v>8</v>
      </c>
      <c r="AC29" s="2">
        <f>1+1+1+1+1+1</f>
        <v>6</v>
      </c>
      <c r="AD29" s="2">
        <v>0</v>
      </c>
      <c r="AE29" s="36">
        <v>0</v>
      </c>
      <c r="AF29" s="41">
        <f t="shared" si="1"/>
        <v>27</v>
      </c>
    </row>
    <row r="30" spans="1:32" x14ac:dyDescent="0.25">
      <c r="A30" s="14" t="s">
        <v>44</v>
      </c>
      <c r="B30" s="23" t="s">
        <v>110</v>
      </c>
      <c r="C30" s="23" t="s">
        <v>115</v>
      </c>
      <c r="D30" s="23" t="s">
        <v>119</v>
      </c>
      <c r="E30" s="20">
        <v>0</v>
      </c>
      <c r="F30" s="4">
        <v>0</v>
      </c>
      <c r="G30" s="4">
        <v>0</v>
      </c>
      <c r="H30" s="4">
        <v>0</v>
      </c>
      <c r="I30" s="40">
        <v>0</v>
      </c>
      <c r="J30" s="41">
        <f t="shared" si="2"/>
        <v>0</v>
      </c>
      <c r="L30" s="14" t="s">
        <v>73</v>
      </c>
      <c r="M30" s="23" t="s">
        <v>111</v>
      </c>
      <c r="N30" s="23" t="s">
        <v>115</v>
      </c>
      <c r="O30" s="23" t="s">
        <v>120</v>
      </c>
      <c r="P30" s="8">
        <v>0</v>
      </c>
      <c r="Q30" s="2">
        <f>1+1+1+1+1+1+1+1+1+1+1+1+1+1+1+1+1+1+1+1+1+1+1+1+1+1+1+1+1</f>
        <v>29</v>
      </c>
      <c r="R30" s="2">
        <f>1+1+1+1+1+1+1+1+1+1+1+1+1+1+1+1+1+1+1+1+1+1+1 +1+1+1+1+1+1+1+1+1+1+1+1+1+1+1+1+1+1+1+1+1+1+1+1+1+1+1+1+1+1+1+1+1+1+1+1+1+1</f>
        <v>61</v>
      </c>
      <c r="S30" s="2">
        <v>0</v>
      </c>
      <c r="T30" s="36">
        <v>0</v>
      </c>
      <c r="U30" s="41">
        <f t="shared" si="0"/>
        <v>90</v>
      </c>
      <c r="W30" s="25" t="s">
        <v>106</v>
      </c>
      <c r="X30" s="26" t="s">
        <v>112</v>
      </c>
      <c r="Y30" s="26" t="s">
        <v>115</v>
      </c>
      <c r="Z30" s="26" t="s">
        <v>120</v>
      </c>
      <c r="AA30" s="30">
        <f>1+1+1+1+1+1+1+1+1+1+1+1+1+1+1+1+1+1+1+1+1+1+1+1+1+1+1+1+1+1+1+1+1+1+1+1+1+1+1+1+1+1+1+1+1+1+1+1+1+1+1+1+1+1+1+1+1+1+1+1+1+1</f>
        <v>62</v>
      </c>
      <c r="AB30" s="31">
        <f>1+1+1+1+1+1+1+1+1+1+1+1+1+1+1+1+1+1+1+1+1+1+1+1+1+1+1+1+1+1+1+1+1+1+1+1+1+1+1+1+1+1+1+1+1+1+1+1+1+1+1+1+1+1+1+1+1</f>
        <v>57</v>
      </c>
      <c r="AC30" s="31">
        <f>1+1+1+1+1+1+1+1+1+1+1+1+1+1+1+1+1
+1+1+1+1+1+1+1+1+1+1+1+1+1+1+1+1+1+1+1+1+1+1+1+1+1+1+1+1+1+1+1+1</f>
        <v>49</v>
      </c>
      <c r="AD30" s="31">
        <f>1+1</f>
        <v>2</v>
      </c>
      <c r="AE30" s="37">
        <v>0</v>
      </c>
      <c r="AF30" s="42">
        <f t="shared" si="1"/>
        <v>170</v>
      </c>
    </row>
    <row r="31" spans="1:32" x14ac:dyDescent="0.25">
      <c r="A31" s="47" t="s">
        <v>34</v>
      </c>
      <c r="B31" s="48" t="s">
        <v>110</v>
      </c>
      <c r="C31" s="48" t="s">
        <v>115</v>
      </c>
      <c r="D31" s="48" t="s">
        <v>119</v>
      </c>
      <c r="E31" s="44">
        <v>0</v>
      </c>
      <c r="F31" s="45">
        <v>0</v>
      </c>
      <c r="G31" s="45">
        <v>0</v>
      </c>
      <c r="H31" s="45">
        <v>0</v>
      </c>
      <c r="I31" s="46">
        <v>0</v>
      </c>
      <c r="J31" s="41">
        <f t="shared" si="2"/>
        <v>0</v>
      </c>
      <c r="L31" s="14" t="s">
        <v>74</v>
      </c>
      <c r="M31" s="23" t="s">
        <v>111</v>
      </c>
      <c r="N31" s="23" t="s">
        <v>115</v>
      </c>
      <c r="O31" s="23" t="s">
        <v>120</v>
      </c>
      <c r="P31" s="8">
        <v>0</v>
      </c>
      <c r="Q31" s="2">
        <v>0</v>
      </c>
      <c r="R31" s="2">
        <v>1</v>
      </c>
      <c r="S31" s="2">
        <v>0</v>
      </c>
      <c r="T31" s="36">
        <v>0</v>
      </c>
      <c r="U31" s="41">
        <f t="shared" si="0"/>
        <v>1</v>
      </c>
      <c r="W31" s="25" t="s">
        <v>49</v>
      </c>
      <c r="X31" s="26" t="s">
        <v>112</v>
      </c>
      <c r="Y31" s="26" t="s">
        <v>117</v>
      </c>
      <c r="Z31" s="26" t="s">
        <v>120</v>
      </c>
      <c r="AA31" s="30">
        <f>1+1+1+1+1+1+1+1+1+1+1+1+1+1+1+1+1+1+1+1+1+1+1+1+1+1+1+1+1+1+1+1+1+1+1+1+1
+1+1+1+1+1+1+1+1+1+1+1+1+1+1+1+1+1+1+1+1+1+1+1</f>
        <v>60</v>
      </c>
      <c r="AB31" s="31">
        <f>1+1+1+1+1+1+1+1+1+1+1+1+1+1+1+1+1+1+1+1+1+1+1+1+1+1+1+1+1+1
+1+1+1+1+1+1+1+1+1+1+1+1+1+1+1+1+1+1+1+1+1+1+1+1</f>
        <v>54</v>
      </c>
      <c r="AC31" s="31">
        <f>1+1+1+1+1+1+1+1+1+1+1+1+1+1+1+1+1+1+1+1+1+1+1+1+1+1+1+1+1+1+1+1+1+1+1+1+1+1+1+1+1+1+1+1+1+1</f>
        <v>46</v>
      </c>
      <c r="AD31" s="31">
        <v>1</v>
      </c>
      <c r="AE31" s="37">
        <v>0</v>
      </c>
      <c r="AF31" s="42">
        <f t="shared" si="1"/>
        <v>161</v>
      </c>
    </row>
    <row r="32" spans="1:32" x14ac:dyDescent="0.25">
      <c r="A32" s="60" t="s">
        <v>122</v>
      </c>
      <c r="B32" s="60"/>
      <c r="C32" s="60"/>
      <c r="D32" s="60"/>
      <c r="E32" s="41">
        <f>SUM(E2:E31)</f>
        <v>289</v>
      </c>
      <c r="F32" s="41">
        <f>SUM(F2:F31)</f>
        <v>239</v>
      </c>
      <c r="G32" s="41">
        <f>SUM(G2:G31)</f>
        <v>128</v>
      </c>
      <c r="H32" s="41">
        <f>SUM(H2:H31)</f>
        <v>93</v>
      </c>
      <c r="I32" s="41">
        <f>SUM(I2:I31)</f>
        <v>38</v>
      </c>
      <c r="J32" s="43"/>
      <c r="L32" s="14" t="s">
        <v>75</v>
      </c>
      <c r="M32" s="23" t="s">
        <v>111</v>
      </c>
      <c r="N32" s="23" t="s">
        <v>115</v>
      </c>
      <c r="O32" s="23" t="s">
        <v>120</v>
      </c>
      <c r="P32" s="8">
        <v>0</v>
      </c>
      <c r="Q32" s="2">
        <v>0</v>
      </c>
      <c r="R32" s="2">
        <f>1+1+1</f>
        <v>3</v>
      </c>
      <c r="S32" s="2">
        <v>0</v>
      </c>
      <c r="T32" s="36">
        <v>0</v>
      </c>
      <c r="U32" s="41">
        <f t="shared" si="0"/>
        <v>3</v>
      </c>
      <c r="W32" s="14" t="s">
        <v>107</v>
      </c>
      <c r="X32" s="23" t="s">
        <v>112</v>
      </c>
      <c r="Y32" s="23" t="s">
        <v>117</v>
      </c>
      <c r="Z32" s="23" t="s">
        <v>120</v>
      </c>
      <c r="AA32" s="8">
        <f>1+1+1+1+1+1+1+1+1+1+ 1+1+1+1+1+1+1+1+1</f>
        <v>19</v>
      </c>
      <c r="AB32" s="2">
        <f>1+1+1+1+1+1+1+1+1+1+1+ 1</f>
        <v>12</v>
      </c>
      <c r="AC32" s="2">
        <f>1+1+1+1+1+1+1+1</f>
        <v>8</v>
      </c>
      <c r="AD32" s="2">
        <v>0</v>
      </c>
      <c r="AE32" s="36">
        <v>0</v>
      </c>
      <c r="AF32" s="41">
        <f t="shared" si="1"/>
        <v>39</v>
      </c>
    </row>
    <row r="33" spans="12:32" x14ac:dyDescent="0.25">
      <c r="L33" s="14" t="s">
        <v>76</v>
      </c>
      <c r="M33" s="23" t="s">
        <v>111</v>
      </c>
      <c r="N33" s="23" t="s">
        <v>115</v>
      </c>
      <c r="O33" s="23" t="s">
        <v>120</v>
      </c>
      <c r="P33" s="8">
        <v>0</v>
      </c>
      <c r="Q33" s="2">
        <f>1+1+1+1+1+1+1+1+1+1+1+1+1+1</f>
        <v>14</v>
      </c>
      <c r="R33" s="2">
        <f>1+1+1+1+1+1+1+1+1+1+1+1+1+1+1+1+1+1+1+1+1+1+1 +1+1+1+1+1+1+1+1+1+1+1+1+1+1+1+1+1+1+1+1+1+1+1+1+1+1+1+1+1+1+1+1</f>
        <v>55</v>
      </c>
      <c r="S33" s="2">
        <v>0</v>
      </c>
      <c r="T33" s="36">
        <v>0</v>
      </c>
      <c r="U33" s="41">
        <f t="shared" si="0"/>
        <v>69</v>
      </c>
      <c r="W33" s="14" t="s">
        <v>108</v>
      </c>
      <c r="X33" s="23" t="s">
        <v>112</v>
      </c>
      <c r="Y33" s="23" t="s">
        <v>117</v>
      </c>
      <c r="Z33" s="23" t="s">
        <v>120</v>
      </c>
      <c r="AA33" s="17">
        <f>1+1+1+1+1+1+1+1</f>
        <v>8</v>
      </c>
      <c r="AB33" s="9">
        <f>1+1+ 1</f>
        <v>3</v>
      </c>
      <c r="AC33" s="9">
        <f>1+1+ 1</f>
        <v>3</v>
      </c>
      <c r="AD33" s="9">
        <v>0</v>
      </c>
      <c r="AE33" s="49">
        <v>0</v>
      </c>
      <c r="AF33" s="50">
        <f t="shared" si="1"/>
        <v>14</v>
      </c>
    </row>
    <row r="34" spans="12:32" x14ac:dyDescent="0.25">
      <c r="L34" s="14" t="s">
        <v>77</v>
      </c>
      <c r="M34" s="23" t="s">
        <v>111</v>
      </c>
      <c r="N34" s="23" t="s">
        <v>115</v>
      </c>
      <c r="O34" s="23" t="s">
        <v>120</v>
      </c>
      <c r="P34" s="8">
        <v>0</v>
      </c>
      <c r="Q34" s="2">
        <v>0</v>
      </c>
      <c r="R34" s="2">
        <v>0</v>
      </c>
      <c r="S34" s="2">
        <v>0</v>
      </c>
      <c r="T34" s="36">
        <v>0</v>
      </c>
      <c r="U34" s="41">
        <f t="shared" si="0"/>
        <v>0</v>
      </c>
      <c r="AA34" s="41">
        <f t="shared" ref="AA34:AF34" si="3">SUM(AA2:AA33)</f>
        <v>642</v>
      </c>
      <c r="AB34" s="41">
        <f t="shared" si="3"/>
        <v>454</v>
      </c>
      <c r="AC34" s="41">
        <f t="shared" si="3"/>
        <v>534</v>
      </c>
      <c r="AD34" s="41">
        <f t="shared" si="3"/>
        <v>63</v>
      </c>
      <c r="AE34" s="41">
        <f t="shared" si="3"/>
        <v>15</v>
      </c>
      <c r="AF34" s="41">
        <f t="shared" si="3"/>
        <v>1708</v>
      </c>
    </row>
    <row r="35" spans="12:32" x14ac:dyDescent="0.25">
      <c r="P35">
        <f>SUM(P2:P34)</f>
        <v>621</v>
      </c>
      <c r="Q35">
        <f>SUM(Q2:Q34)</f>
        <v>387</v>
      </c>
      <c r="R35">
        <f>SUM(R2:R34)</f>
        <v>773</v>
      </c>
      <c r="S35">
        <f>SUM(S9:S34)</f>
        <v>5</v>
      </c>
      <c r="T35">
        <f>SUM(T9:T34)</f>
        <v>1</v>
      </c>
      <c r="U35" s="43">
        <f>SUM(U2:U34)</f>
        <v>1787</v>
      </c>
    </row>
  </sheetData>
  <mergeCells count="1">
    <mergeCell ref="A32:D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3EDD-EFD6-4AFC-84C2-9942F5939763}">
  <dimension ref="A1:N5"/>
  <sheetViews>
    <sheetView tabSelected="1" zoomScale="145" zoomScaleNormal="145" workbookViewId="0">
      <selection activeCell="O13" sqref="O13"/>
    </sheetView>
  </sheetViews>
  <sheetFormatPr defaultColWidth="11.42578125" defaultRowHeight="15" x14ac:dyDescent="0.2"/>
  <cols>
    <col min="1" max="16384" width="11.42578125" style="55"/>
  </cols>
  <sheetData>
    <row r="1" spans="1:14" ht="15.75" x14ac:dyDescent="0.25">
      <c r="A1" s="53" t="s">
        <v>113</v>
      </c>
      <c r="B1" s="54" t="s">
        <v>125</v>
      </c>
      <c r="C1" s="54" t="s">
        <v>13</v>
      </c>
      <c r="D1" s="54" t="s">
        <v>14</v>
      </c>
      <c r="E1" s="54" t="s">
        <v>126</v>
      </c>
      <c r="F1" s="54" t="s">
        <v>16</v>
      </c>
      <c r="I1" s="53" t="s">
        <v>113</v>
      </c>
      <c r="J1" s="54" t="s">
        <v>125</v>
      </c>
      <c r="K1" s="54" t="s">
        <v>13</v>
      </c>
      <c r="L1" s="54" t="s">
        <v>14</v>
      </c>
      <c r="M1" s="54" t="s">
        <v>126</v>
      </c>
      <c r="N1" s="54" t="s">
        <v>16</v>
      </c>
    </row>
    <row r="2" spans="1:14" ht="15.75" x14ac:dyDescent="0.25">
      <c r="A2" s="53" t="s">
        <v>111</v>
      </c>
      <c r="B2" s="56">
        <v>621</v>
      </c>
      <c r="C2" s="56">
        <v>387</v>
      </c>
      <c r="D2" s="56">
        <v>773</v>
      </c>
      <c r="E2" s="56">
        <v>5</v>
      </c>
      <c r="F2" s="56">
        <v>1</v>
      </c>
      <c r="I2" s="53" t="s">
        <v>111</v>
      </c>
      <c r="J2" s="57">
        <f>B2/B5</f>
        <v>0.40012886597938147</v>
      </c>
      <c r="K2" s="57">
        <f>C2/C5</f>
        <v>0.35833333333333334</v>
      </c>
      <c r="L2" s="57">
        <f>D2/D5</f>
        <v>0.53867595818815328</v>
      </c>
      <c r="M2" s="57">
        <f>E2/E5</f>
        <v>3.1055900621118012E-2</v>
      </c>
      <c r="N2" s="57">
        <f>F2/F5</f>
        <v>1.8518518518518517E-2</v>
      </c>
    </row>
    <row r="3" spans="1:14" ht="15.75" x14ac:dyDescent="0.25">
      <c r="A3" s="53" t="s">
        <v>124</v>
      </c>
      <c r="B3" s="56">
        <v>642</v>
      </c>
      <c r="C3" s="56">
        <v>454</v>
      </c>
      <c r="D3" s="56">
        <v>534</v>
      </c>
      <c r="E3" s="56">
        <v>63</v>
      </c>
      <c r="F3" s="56">
        <v>15</v>
      </c>
      <c r="I3" s="53" t="s">
        <v>124</v>
      </c>
      <c r="J3" s="57">
        <f>B3/B5</f>
        <v>0.41365979381443296</v>
      </c>
      <c r="K3" s="57">
        <f>C3/C5</f>
        <v>0.42037037037037039</v>
      </c>
      <c r="L3" s="57">
        <f>D3/D5</f>
        <v>0.37212543554006966</v>
      </c>
      <c r="M3" s="57">
        <f>E3/E5</f>
        <v>0.39130434782608697</v>
      </c>
      <c r="N3" s="57">
        <f>F3/F5</f>
        <v>0.27777777777777779</v>
      </c>
    </row>
    <row r="4" spans="1:14" ht="15.75" x14ac:dyDescent="0.25">
      <c r="A4" s="53" t="s">
        <v>110</v>
      </c>
      <c r="B4" s="56">
        <v>289</v>
      </c>
      <c r="C4" s="56">
        <v>239</v>
      </c>
      <c r="D4" s="56">
        <v>128</v>
      </c>
      <c r="E4" s="56">
        <v>93</v>
      </c>
      <c r="F4" s="56">
        <v>38</v>
      </c>
      <c r="I4" s="53" t="s">
        <v>110</v>
      </c>
      <c r="J4" s="57">
        <f>B4/B5</f>
        <v>0.18621134020618557</v>
      </c>
      <c r="K4" s="57">
        <f>C4/C5</f>
        <v>0.2212962962962963</v>
      </c>
      <c r="L4" s="57">
        <f>D4/D5</f>
        <v>8.9198606271777003E-2</v>
      </c>
      <c r="M4" s="57">
        <f>E4/E5</f>
        <v>0.57763975155279501</v>
      </c>
      <c r="N4" s="57">
        <f>F4/F5</f>
        <v>0.70370370370370372</v>
      </c>
    </row>
    <row r="5" spans="1:14" ht="15.75" x14ac:dyDescent="0.25">
      <c r="A5" s="53" t="s">
        <v>127</v>
      </c>
      <c r="B5" s="58">
        <f>SUM(B2:B4)</f>
        <v>1552</v>
      </c>
      <c r="C5" s="58">
        <f>SUM(C2:C4)</f>
        <v>1080</v>
      </c>
      <c r="D5" s="58">
        <f>SUM(D2:D4)</f>
        <v>1435</v>
      </c>
      <c r="E5" s="58">
        <f>SUM(E2:E4)</f>
        <v>161</v>
      </c>
      <c r="F5" s="58">
        <f>SUM(F2:F4)</f>
        <v>54</v>
      </c>
      <c r="I5" s="53" t="s">
        <v>127</v>
      </c>
      <c r="J5" s="59">
        <f>SUM(J2:J4)</f>
        <v>1</v>
      </c>
      <c r="K5" s="59">
        <f>SUM(K2:K4)</f>
        <v>1</v>
      </c>
      <c r="L5" s="59">
        <f>SUM(L2:L4)</f>
        <v>0.99999999999999989</v>
      </c>
      <c r="M5" s="59">
        <f>SUM(M2:M4)</f>
        <v>1</v>
      </c>
      <c r="N5" s="59">
        <f>SUM(N2:N4)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 </vt:lpstr>
      <vt:lpstr>Referencias geográficas</vt:lpstr>
      <vt:lpstr>Usos por grupos taxonomicos</vt:lpstr>
      <vt:lpstr>Salida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ALFONSO GOMEZ HERRERA</dc:creator>
  <cp:lastModifiedBy>Editor_Humboldt</cp:lastModifiedBy>
  <dcterms:created xsi:type="dcterms:W3CDTF">2024-11-06T20:10:18Z</dcterms:created>
  <dcterms:modified xsi:type="dcterms:W3CDTF">2025-06-09T17:55:51Z</dcterms:modified>
</cp:coreProperties>
</file>