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da_3" sheetId="1" r:id="rId4"/>
    <sheet state="visible" name="Salida_4" sheetId="2" r:id="rId5"/>
    <sheet state="visible" name="Copia de Salida_3" sheetId="3" r:id="rId6"/>
  </sheets>
  <definedNames/>
  <calcPr/>
  <extLst>
    <ext uri="GoogleSheetsCustomDataVersion2">
      <go:sheetsCustomData xmlns:go="http://customooxmlschemas.google.com/" r:id="rId7" roundtripDataChecksum="yBb8BrlDu41tpmL4qFQlv++Wf1FQwrmNDhG2ZunKNg8="/>
    </ext>
  </extLst>
</workbook>
</file>

<file path=xl/sharedStrings.xml><?xml version="1.0" encoding="utf-8"?>
<sst xmlns="http://schemas.openxmlformats.org/spreadsheetml/2006/main" count="113" uniqueCount="26">
  <si>
    <t>Tipo de área</t>
  </si>
  <si>
    <t>Año</t>
  </si>
  <si>
    <t>Superficie (ha)</t>
  </si>
  <si>
    <t>Porcentaje</t>
  </si>
  <si>
    <t>Áreas protegidas</t>
  </si>
  <si>
    <t>Áreas NO protegidas</t>
  </si>
  <si>
    <t>Caribe Continental</t>
  </si>
  <si>
    <t>AGREGACION</t>
  </si>
  <si>
    <t>Tipo</t>
  </si>
  <si>
    <t>Área (ha)</t>
  </si>
  <si>
    <t>Área total (ha)</t>
  </si>
  <si>
    <t>PORCENTAJE</t>
  </si>
  <si>
    <t>AÑO</t>
  </si>
  <si>
    <t>Total Caribe continental</t>
  </si>
  <si>
    <t>Natural</t>
  </si>
  <si>
    <t>Transformado</t>
  </si>
  <si>
    <t>Caribe continental NO protegido</t>
  </si>
  <si>
    <t>Caribe continental protegido</t>
  </si>
  <si>
    <t>PARA EL NUEVO GRÁFICO:</t>
  </si>
  <si>
    <t>Total</t>
  </si>
  <si>
    <t>No protegido</t>
  </si>
  <si>
    <t>Protegido</t>
  </si>
  <si>
    <t>Cambio (ha)</t>
  </si>
  <si>
    <t>Porcentaje cob natural</t>
  </si>
  <si>
    <t>Porcentaje de pérdida</t>
  </si>
  <si>
    <t>Porcentaje acumulado de pérdida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</si>
</sst>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2" xfId="0" applyFont="1" applyNumberFormat="1"/>
    <xf borderId="0" fillId="0" fontId="3" numFmtId="9" xfId="0" applyFont="1" applyNumberFormat="1"/>
    <xf borderId="0" fillId="0" fontId="3" numFmtId="2" xfId="0" applyFont="1" applyNumberFormat="1"/>
    <xf borderId="0" fillId="0" fontId="2" numFmtId="1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2" numFmtId="1" xfId="0" applyAlignment="1" applyFont="1" applyNumberFormat="1">
      <alignment horizontal="right"/>
    </xf>
    <xf borderId="1" fillId="3" fontId="5" numFmtId="10" xfId="0" applyAlignment="1" applyBorder="1" applyFill="1" applyFont="1" applyNumberFormat="1">
      <alignment readingOrder="0"/>
    </xf>
    <xf borderId="2" fillId="3" fontId="5" numFmtId="10" xfId="0" applyBorder="1" applyFont="1" applyNumberFormat="1"/>
    <xf borderId="3" fillId="3" fontId="5" numFmtId="10" xfId="0" applyBorder="1" applyFont="1" applyNumberFormat="1"/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4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165" xfId="0" applyFont="1" applyNumberFormat="1"/>
    <xf borderId="0" fillId="0" fontId="5" numFmtId="0" xfId="0" applyAlignment="1" applyFont="1">
      <alignment readingOrder="0"/>
    </xf>
    <xf borderId="0" fillId="2" fontId="5" numFmtId="4" xfId="0" applyAlignment="1" applyFont="1" applyNumberFormat="1">
      <alignment readingOrder="0"/>
    </xf>
    <xf borderId="0" fillId="0" fontId="3" numFmtId="4" xfId="0" applyFont="1" applyNumberFormat="1"/>
    <xf borderId="0" fillId="0" fontId="5" numFmtId="2" xfId="0" applyFont="1" applyNumberFormat="1"/>
    <xf borderId="0" fillId="2" fontId="3" numFmtId="4" xfId="0" applyFont="1" applyNumberFormat="1"/>
    <xf borderId="0" fillId="0" fontId="1" numFmtId="165" xfId="0" applyAlignment="1" applyFont="1" applyNumberFormat="1">
      <alignment horizontal="center"/>
    </xf>
    <xf borderId="0" fillId="2" fontId="3" numFmtId="4" xfId="0" applyAlignment="1" applyFont="1" applyNumberFormat="1">
      <alignment readingOrder="0"/>
    </xf>
    <xf borderId="0" fillId="0" fontId="5" numFmtId="4" xfId="0" applyFont="1" applyNumberFormat="1"/>
    <xf borderId="0" fillId="0" fontId="5" numFmtId="165" xfId="0" applyFont="1" applyNumberFormat="1"/>
    <xf borderId="0" fillId="2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Salida_3!$B$2:$B$11</c:f>
            </c:strRef>
          </c:cat>
          <c:val>
            <c:numRef>
              <c:f>Salida_3!$C$2:$C$11</c:f>
              <c:numCache/>
            </c:numRef>
          </c:val>
          <c:smooth val="0"/>
        </c:ser>
        <c:axId val="1573640734"/>
        <c:axId val="692299734"/>
      </c:lineChart>
      <c:catAx>
        <c:axId val="1573640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2299734"/>
      </c:catAx>
      <c:valAx>
        <c:axId val="692299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Hectáreas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364073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Salida_3!$B$13:$B$22</c:f>
            </c:strRef>
          </c:cat>
          <c:val>
            <c:numRef>
              <c:f>Salida_3!$C$13:$C$22</c:f>
              <c:numCache/>
            </c:numRef>
          </c:val>
          <c:smooth val="1"/>
        </c:ser>
        <c:axId val="321413259"/>
        <c:axId val="1371561604"/>
      </c:lineChart>
      <c:catAx>
        <c:axId val="32141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1561604"/>
      </c:catAx>
      <c:valAx>
        <c:axId val="1371561604"/>
        <c:scaling>
          <c:orientation val="minMax"/>
          <c:max val="5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Hectáreas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141325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Salida_3!$B$24:$B$33</c:f>
            </c:strRef>
          </c:cat>
          <c:val>
            <c:numRef>
              <c:f>Salida_3!$C$24:$C$33</c:f>
              <c:numCache/>
            </c:numRef>
          </c:val>
          <c:smooth val="1"/>
        </c:ser>
        <c:axId val="775322528"/>
        <c:axId val="207019149"/>
      </c:lineChart>
      <c:catAx>
        <c:axId val="77532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019149"/>
      </c:catAx>
      <c:valAx>
        <c:axId val="207019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Hectáreas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532252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Salida_3!$B$1:$B$11</c:f>
            </c:strRef>
          </c:cat>
          <c:val>
            <c:numRef>
              <c:f>Salida_3!$D$1:$D$11</c:f>
              <c:numCache/>
            </c:numRef>
          </c:val>
          <c:smooth val="0"/>
        </c:ser>
        <c:axId val="662997079"/>
        <c:axId val="1548355463"/>
      </c:lineChart>
      <c:catAx>
        <c:axId val="662997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355463"/>
      </c:catAx>
      <c:valAx>
        <c:axId val="1548355463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97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Natural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Salida_4!$C$2</c:f>
              <c:numCache/>
            </c:numRef>
          </c:val>
        </c:ser>
        <c:ser>
          <c:idx val="1"/>
          <c:order val="1"/>
          <c:tx>
            <c:v>Transformado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Salida_4!$C$3</c:f>
              <c:numCache/>
            </c:numRef>
          </c:val>
        </c:ser>
        <c:overlap val="100"/>
        <c:axId val="575325507"/>
        <c:axId val="253077198"/>
      </c:barChart>
      <c:catAx>
        <c:axId val="5753255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077198"/>
      </c:catAx>
      <c:valAx>
        <c:axId val="2530771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Hectáreas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532550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Natural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Salida_4!$C$5</c:f>
              <c:numCache/>
            </c:numRef>
          </c:val>
        </c:ser>
        <c:ser>
          <c:idx val="1"/>
          <c:order val="1"/>
          <c:tx>
            <c:v>Transformado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Salida_4!$C$6</c:f>
              <c:numCache/>
            </c:numRef>
          </c:val>
        </c:ser>
        <c:overlap val="100"/>
        <c:axId val="964300406"/>
        <c:axId val="235251604"/>
      </c:barChart>
      <c:catAx>
        <c:axId val="9643004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251604"/>
      </c:catAx>
      <c:valAx>
        <c:axId val="2352516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4300406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Natural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Salida_4!$C$8</c:f>
              <c:numCache/>
            </c:numRef>
          </c:val>
        </c:ser>
        <c:ser>
          <c:idx val="1"/>
          <c:order val="1"/>
          <c:tx>
            <c:v>Transformado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Salida_4!$C$9</c:f>
              <c:numCache/>
            </c:numRef>
          </c:val>
        </c:ser>
        <c:overlap val="100"/>
        <c:axId val="863559935"/>
        <c:axId val="1782501570"/>
      </c:barChart>
      <c:catAx>
        <c:axId val="8635599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2501570"/>
      </c:catAx>
      <c:valAx>
        <c:axId val="1782501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3559935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'Copia de Salida_3'!$B$1:$B$11</c:f>
            </c:strRef>
          </c:cat>
          <c:val>
            <c:numRef>
              <c:f>'Copia de Salida_3'!$G$1:$G$11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'Copia de Salida_3'!$B$1:$B$11</c:f>
            </c:strRef>
          </c:cat>
          <c:val>
            <c:numRef>
              <c:f>'Copia de Salida_3'!$G$13:$G$22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'Copia de Salida_3'!$B$1:$B$11</c:f>
            </c:strRef>
          </c:cat>
          <c:val>
            <c:numRef>
              <c:f>'Copia de Salida_3'!$G$24:$G$33</c:f>
              <c:numCache/>
            </c:numRef>
          </c:val>
          <c:smooth val="0"/>
        </c:ser>
        <c:axId val="766323709"/>
        <c:axId val="1760011664"/>
      </c:lineChart>
      <c:catAx>
        <c:axId val="766323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011664"/>
      </c:catAx>
      <c:valAx>
        <c:axId val="1760011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323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'Copia de Salida_3'!$B$1:$B$11</c:f>
            </c:strRef>
          </c:cat>
          <c:val>
            <c:numRef>
              <c:f>'Copia de Salida_3'!$G$1:$G$11</c:f>
              <c:numCache/>
            </c:numRef>
          </c:val>
          <c:smooth val="0"/>
        </c:ser>
        <c:axId val="539179681"/>
        <c:axId val="504649363"/>
      </c:lineChart>
      <c:catAx>
        <c:axId val="539179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649363"/>
      </c:catAx>
      <c:valAx>
        <c:axId val="504649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179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'Copia de Salida_3'!$B$13:$B$22</c:f>
            </c:strRef>
          </c:cat>
          <c:val>
            <c:numRef>
              <c:f>'Copia de Salida_3'!$G$13:$G$22</c:f>
              <c:numCache/>
            </c:numRef>
          </c:val>
          <c:smooth val="0"/>
        </c:ser>
        <c:axId val="19890110"/>
        <c:axId val="190462146"/>
      </c:lineChart>
      <c:catAx>
        <c:axId val="19890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62146"/>
      </c:catAx>
      <c:valAx>
        <c:axId val="190462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0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'Copia de Salida_3'!$B$24:$B$33</c:f>
            </c:strRef>
          </c:cat>
          <c:val>
            <c:numRef>
              <c:f>'Copia de Salida_3'!$G$24:$G$33</c:f>
              <c:numCache/>
            </c:numRef>
          </c:val>
          <c:smooth val="0"/>
        </c:ser>
        <c:axId val="1248227673"/>
        <c:axId val="475795404"/>
      </c:lineChart>
      <c:catAx>
        <c:axId val="1248227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795404"/>
      </c:catAx>
      <c:valAx>
        <c:axId val="475795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227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85725</xdr:colOff>
      <xdr:row>0</xdr:row>
      <xdr:rowOff>0</xdr:rowOff>
    </xdr:from>
    <xdr:ext cx="4333875" cy="3476625"/>
    <xdr:graphicFrame>
      <xdr:nvGraphicFramePr>
        <xdr:cNvPr id="40899261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18</xdr:row>
      <xdr:rowOff>47625</xdr:rowOff>
    </xdr:from>
    <xdr:ext cx="10039350" cy="2781300"/>
    <xdr:graphicFrame>
      <xdr:nvGraphicFramePr>
        <xdr:cNvPr id="104698235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28575</xdr:colOff>
      <xdr:row>33</xdr:row>
      <xdr:rowOff>85725</xdr:rowOff>
    </xdr:from>
    <xdr:ext cx="9991725" cy="3000375"/>
    <xdr:graphicFrame>
      <xdr:nvGraphicFramePr>
        <xdr:cNvPr id="78478380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28575</xdr:colOff>
      <xdr:row>0</xdr:row>
      <xdr:rowOff>0</xdr:rowOff>
    </xdr:from>
    <xdr:ext cx="4162425" cy="3476625"/>
    <xdr:graphicFrame>
      <xdr:nvGraphicFramePr>
        <xdr:cNvPr id="1798550406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1</xdr:row>
      <xdr:rowOff>28575</xdr:rowOff>
    </xdr:from>
    <xdr:ext cx="5457825" cy="3800475"/>
    <xdr:graphicFrame>
      <xdr:nvGraphicFramePr>
        <xdr:cNvPr id="1775134648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21</xdr:row>
      <xdr:rowOff>19050</xdr:rowOff>
    </xdr:from>
    <xdr:ext cx="5238750" cy="3476625"/>
    <xdr:graphicFrame>
      <xdr:nvGraphicFramePr>
        <xdr:cNvPr id="34845580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914400</xdr:colOff>
      <xdr:row>39</xdr:row>
      <xdr:rowOff>152400</xdr:rowOff>
    </xdr:from>
    <xdr:ext cx="6010275" cy="3609975"/>
    <xdr:graphicFrame>
      <xdr:nvGraphicFramePr>
        <xdr:cNvPr id="192307289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54</xdr:row>
      <xdr:rowOff>0</xdr:rowOff>
    </xdr:from>
    <xdr:ext cx="7705725" cy="4467225"/>
    <xdr:graphicFrame>
      <xdr:nvGraphicFramePr>
        <xdr:cNvPr id="696101315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685800</xdr:colOff>
      <xdr:row>0</xdr:row>
      <xdr:rowOff>0</xdr:rowOff>
    </xdr:from>
    <xdr:ext cx="4114800" cy="2543175"/>
    <xdr:graphicFrame>
      <xdr:nvGraphicFramePr>
        <xdr:cNvPr id="1974670461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685800</xdr:colOff>
      <xdr:row>13</xdr:row>
      <xdr:rowOff>152400</xdr:rowOff>
    </xdr:from>
    <xdr:ext cx="4162425" cy="2543175"/>
    <xdr:graphicFrame>
      <xdr:nvGraphicFramePr>
        <xdr:cNvPr id="575737654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685800</xdr:colOff>
      <xdr:row>26</xdr:row>
      <xdr:rowOff>171450</xdr:rowOff>
    </xdr:from>
    <xdr:ext cx="4210050" cy="2590800"/>
    <xdr:graphicFrame>
      <xdr:nvGraphicFramePr>
        <xdr:cNvPr id="1204291387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2.71"/>
    <col customWidth="1" min="3" max="3" width="19.86"/>
    <col customWidth="1" min="4" max="4" width="13.14"/>
    <col customWidth="1" min="5" max="25" width="10.71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4">
        <v>1985.0</v>
      </c>
      <c r="C2" s="5">
        <v>1344244.63589939</v>
      </c>
      <c r="D2" s="6">
        <v>0.680557281048757</v>
      </c>
    </row>
    <row r="3">
      <c r="A3" s="4" t="s">
        <v>4</v>
      </c>
      <c r="B3" s="4">
        <v>1990.0</v>
      </c>
      <c r="C3" s="5">
        <v>1324688.12005199</v>
      </c>
      <c r="D3" s="6">
        <v>0.670656308490299</v>
      </c>
      <c r="F3" s="6"/>
    </row>
    <row r="4">
      <c r="A4" s="4" t="s">
        <v>4</v>
      </c>
      <c r="B4" s="4">
        <v>1995.0</v>
      </c>
      <c r="C4" s="5">
        <v>1321623.31817937</v>
      </c>
      <c r="D4" s="6">
        <v>0.669104676314368</v>
      </c>
      <c r="F4" s="6"/>
    </row>
    <row r="5">
      <c r="A5" s="4" t="s">
        <v>4</v>
      </c>
      <c r="B5" s="4">
        <v>2000.0</v>
      </c>
      <c r="C5" s="5">
        <v>1319666.39168797</v>
      </c>
      <c r="D5" s="6">
        <v>0.668113933605315</v>
      </c>
      <c r="F5" s="6"/>
    </row>
    <row r="6">
      <c r="A6" s="4" t="s">
        <v>4</v>
      </c>
      <c r="B6" s="4">
        <v>2005.0</v>
      </c>
      <c r="C6" s="5">
        <v>1304892.77111141</v>
      </c>
      <c r="D6" s="6">
        <v>0.6606344207381489</v>
      </c>
      <c r="F6" s="6"/>
    </row>
    <row r="7">
      <c r="A7" s="4" t="s">
        <v>4</v>
      </c>
      <c r="B7" s="4">
        <v>2010.0</v>
      </c>
      <c r="C7" s="5">
        <v>1309124.25727695</v>
      </c>
      <c r="D7" s="6">
        <v>0.6627767158552039</v>
      </c>
      <c r="F7" s="6"/>
    </row>
    <row r="8">
      <c r="A8" s="4" t="s">
        <v>4</v>
      </c>
      <c r="B8" s="4">
        <v>2015.0</v>
      </c>
      <c r="C8" s="5">
        <v>1301458.85039395</v>
      </c>
      <c r="D8" s="6">
        <v>0.658895912966273</v>
      </c>
      <c r="F8" s="6"/>
    </row>
    <row r="9">
      <c r="A9" s="4" t="s">
        <v>4</v>
      </c>
      <c r="B9" s="4">
        <v>2020.0</v>
      </c>
      <c r="C9" s="5">
        <v>1283375.47727036</v>
      </c>
      <c r="D9" s="6">
        <v>0.649740755551827</v>
      </c>
      <c r="F9" s="6"/>
    </row>
    <row r="10">
      <c r="A10" s="4" t="s">
        <v>4</v>
      </c>
      <c r="B10" s="4">
        <v>2022.0</v>
      </c>
      <c r="C10" s="5">
        <v>1279435.73615199</v>
      </c>
      <c r="D10" s="6">
        <v>0.6477461636212</v>
      </c>
      <c r="F10" s="6"/>
    </row>
    <row r="11">
      <c r="A11" s="4" t="s">
        <v>4</v>
      </c>
      <c r="B11" s="4">
        <v>2023.0</v>
      </c>
      <c r="C11" s="5">
        <v>1268285.48852515</v>
      </c>
      <c r="D11" s="6">
        <v>0.642101073430558</v>
      </c>
      <c r="F11" s="6"/>
    </row>
    <row r="12">
      <c r="A12" s="1" t="s">
        <v>0</v>
      </c>
      <c r="B12" s="2" t="s">
        <v>1</v>
      </c>
      <c r="C12" s="3" t="s">
        <v>2</v>
      </c>
      <c r="D12" s="3" t="s">
        <v>3</v>
      </c>
      <c r="F12" s="6"/>
    </row>
    <row r="13">
      <c r="A13" s="4" t="s">
        <v>5</v>
      </c>
      <c r="B13" s="4">
        <v>1985.0</v>
      </c>
      <c r="C13" s="5">
        <v>4844103.77987132</v>
      </c>
      <c r="D13" s="6">
        <v>0.418797522380678</v>
      </c>
      <c r="F13" s="6"/>
    </row>
    <row r="14">
      <c r="A14" s="4" t="s">
        <v>5</v>
      </c>
      <c r="B14" s="4">
        <v>1990.0</v>
      </c>
      <c r="C14" s="5">
        <v>4683830.63773518</v>
      </c>
      <c r="D14" s="6">
        <v>0.404941090338554</v>
      </c>
      <c r="F14" s="6"/>
    </row>
    <row r="15">
      <c r="A15" s="4" t="s">
        <v>5</v>
      </c>
      <c r="B15" s="4">
        <v>1995.0</v>
      </c>
      <c r="C15" s="5">
        <v>4481118.70261544</v>
      </c>
      <c r="D15" s="6">
        <v>0.387415607804942</v>
      </c>
      <c r="F15" s="6"/>
    </row>
    <row r="16">
      <c r="A16" s="4" t="s">
        <v>5</v>
      </c>
      <c r="B16" s="4">
        <v>2000.0</v>
      </c>
      <c r="C16" s="5">
        <v>4432951.43833454</v>
      </c>
      <c r="D16" s="6">
        <v>0.383251301700576</v>
      </c>
      <c r="F16" s="6"/>
    </row>
    <row r="17">
      <c r="A17" s="4" t="s">
        <v>5</v>
      </c>
      <c r="B17" s="4">
        <v>2005.0</v>
      </c>
      <c r="C17" s="5">
        <v>4371804.48457078</v>
      </c>
      <c r="D17" s="6">
        <v>0.3779648351216</v>
      </c>
      <c r="F17" s="6"/>
    </row>
    <row r="18">
      <c r="A18" s="4" t="s">
        <v>5</v>
      </c>
      <c r="B18" s="4">
        <v>2010.0</v>
      </c>
      <c r="C18" s="5">
        <v>4418814.02548195</v>
      </c>
      <c r="D18" s="6">
        <v>0.382029050125344</v>
      </c>
      <c r="F18" s="6"/>
    </row>
    <row r="19">
      <c r="A19" s="4" t="s">
        <v>5</v>
      </c>
      <c r="B19" s="4">
        <v>2015.0</v>
      </c>
      <c r="C19" s="5">
        <v>4465072.25308518</v>
      </c>
      <c r="D19" s="6">
        <v>0.386028310254835</v>
      </c>
      <c r="F19" s="6"/>
    </row>
    <row r="20">
      <c r="A20" s="4" t="s">
        <v>5</v>
      </c>
      <c r="B20" s="4">
        <v>2020.0</v>
      </c>
      <c r="C20" s="5">
        <v>4462933.21349035</v>
      </c>
      <c r="D20" s="6">
        <v>0.385843379352588</v>
      </c>
      <c r="F20" s="6"/>
    </row>
    <row r="21">
      <c r="A21" s="4" t="s">
        <v>5</v>
      </c>
      <c r="B21" s="4">
        <v>2022.0</v>
      </c>
      <c r="C21" s="5">
        <v>4493430.9135003</v>
      </c>
      <c r="D21" s="6">
        <v>0.38848006134432195</v>
      </c>
      <c r="F21" s="6"/>
    </row>
    <row r="22" ht="15.75" customHeight="1">
      <c r="A22" s="4" t="s">
        <v>5</v>
      </c>
      <c r="B22" s="4">
        <v>2023.0</v>
      </c>
      <c r="C22" s="5">
        <v>4450214.25992988</v>
      </c>
      <c r="D22" s="6">
        <v>0.384743760830678</v>
      </c>
      <c r="F22" s="6"/>
    </row>
    <row r="23" ht="15.75" customHeight="1">
      <c r="A23" s="1" t="s">
        <v>0</v>
      </c>
      <c r="B23" s="2" t="s">
        <v>1</v>
      </c>
      <c r="C23" s="3" t="s">
        <v>2</v>
      </c>
      <c r="D23" s="3" t="s">
        <v>3</v>
      </c>
      <c r="F23" s="6"/>
    </row>
    <row r="24" ht="15.75" customHeight="1">
      <c r="A24" s="4" t="s">
        <v>6</v>
      </c>
      <c r="B24" s="4">
        <v>1985.0</v>
      </c>
      <c r="C24" s="5">
        <v>6188348.41577071</v>
      </c>
      <c r="D24" s="6">
        <v>0.456977586300253</v>
      </c>
      <c r="F24" s="6"/>
    </row>
    <row r="25" ht="15.75" customHeight="1">
      <c r="A25" s="4" t="s">
        <v>6</v>
      </c>
      <c r="B25" s="4">
        <v>1990.0</v>
      </c>
      <c r="C25" s="5">
        <v>6008518.75778717</v>
      </c>
      <c r="D25" s="6">
        <v>0.443698094337407</v>
      </c>
      <c r="F25" s="6"/>
    </row>
    <row r="26" ht="15.75" customHeight="1">
      <c r="A26" s="4" t="s">
        <v>6</v>
      </c>
      <c r="B26" s="4">
        <v>1995.0</v>
      </c>
      <c r="C26" s="5">
        <v>5802742.02079482</v>
      </c>
      <c r="D26" s="6">
        <v>0.428502544528372</v>
      </c>
      <c r="F26" s="6"/>
    </row>
    <row r="27" ht="15.75" customHeight="1">
      <c r="A27" s="4" t="s">
        <v>6</v>
      </c>
      <c r="B27" s="4">
        <v>2000.0</v>
      </c>
      <c r="C27" s="5">
        <v>5752617.83002251</v>
      </c>
      <c r="D27" s="6">
        <v>0.42480113178050405</v>
      </c>
      <c r="F27" s="6"/>
    </row>
    <row r="28" ht="15.75" customHeight="1">
      <c r="A28" s="4" t="s">
        <v>6</v>
      </c>
      <c r="B28" s="4">
        <v>2005.0</v>
      </c>
      <c r="C28" s="5">
        <v>5676697.2556822</v>
      </c>
      <c r="D28" s="6">
        <v>0.41919478926686204</v>
      </c>
      <c r="F28" s="6"/>
    </row>
    <row r="29" ht="15.75" customHeight="1">
      <c r="A29" s="4" t="s">
        <v>6</v>
      </c>
      <c r="B29" s="4">
        <v>2010.0</v>
      </c>
      <c r="C29" s="5">
        <v>5727938.2827589</v>
      </c>
      <c r="D29" s="6">
        <v>0.42297867461071</v>
      </c>
      <c r="F29" s="6"/>
    </row>
    <row r="30" ht="15.75" customHeight="1">
      <c r="A30" s="4" t="s">
        <v>6</v>
      </c>
      <c r="B30" s="4">
        <v>2015.0</v>
      </c>
      <c r="C30" s="5">
        <v>5766531.10347913</v>
      </c>
      <c r="D30" s="6">
        <v>0.425828555205071</v>
      </c>
      <c r="F30" s="6"/>
    </row>
    <row r="31" ht="15.75" customHeight="1">
      <c r="A31" s="4" t="s">
        <v>6</v>
      </c>
      <c r="B31" s="4">
        <v>2020.0</v>
      </c>
      <c r="C31" s="5">
        <v>5746308.69076071</v>
      </c>
      <c r="D31" s="6">
        <v>0.424335234413746</v>
      </c>
      <c r="F31" s="6"/>
    </row>
    <row r="32" ht="15.75" customHeight="1">
      <c r="A32" s="4" t="s">
        <v>6</v>
      </c>
      <c r="B32" s="4">
        <v>2022.0</v>
      </c>
      <c r="C32" s="5">
        <v>5772866.64965229</v>
      </c>
      <c r="D32" s="6">
        <v>0.42629640258592</v>
      </c>
      <c r="F32" s="6"/>
    </row>
    <row r="33" ht="15.75" customHeight="1">
      <c r="A33" s="4" t="s">
        <v>6</v>
      </c>
      <c r="B33" s="4">
        <v>2023.0</v>
      </c>
      <c r="C33" s="5">
        <v>5718499.74845503</v>
      </c>
      <c r="D33" s="6">
        <v>0.422281687574006</v>
      </c>
      <c r="F33" s="6"/>
    </row>
    <row r="34" ht="15.75" customHeight="1">
      <c r="A34" s="4"/>
      <c r="B34" s="4"/>
      <c r="C34" s="5"/>
      <c r="D34" s="6"/>
      <c r="F34" s="6"/>
    </row>
    <row r="35" ht="15.75" customHeight="1">
      <c r="F35" s="6"/>
    </row>
    <row r="36" ht="15.75" customHeight="1">
      <c r="F36" s="6"/>
    </row>
    <row r="37" ht="15.75" customHeight="1">
      <c r="F37" s="6"/>
    </row>
    <row r="38" ht="15.75" customHeight="1">
      <c r="F38" s="6"/>
    </row>
    <row r="39" ht="15.75" customHeight="1">
      <c r="F39" s="6"/>
    </row>
    <row r="40" ht="15.75" customHeight="1">
      <c r="F40" s="6"/>
    </row>
    <row r="41" ht="15.75" customHeight="1">
      <c r="F41" s="6"/>
    </row>
    <row r="42" ht="15.75" customHeight="1">
      <c r="F42" s="6"/>
    </row>
    <row r="43" ht="15.75" customHeight="1">
      <c r="F43" s="6"/>
    </row>
    <row r="44" ht="15.75" customHeight="1">
      <c r="F44" s="6"/>
    </row>
    <row r="45" ht="15.75" customHeight="1">
      <c r="C45" s="7"/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4" max="4" width="19.86"/>
  </cols>
  <sheetData>
    <row r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</row>
    <row r="2">
      <c r="A2" s="4" t="s">
        <v>13</v>
      </c>
      <c r="B2" s="4" t="s">
        <v>14</v>
      </c>
      <c r="C2" s="8">
        <v>5718524.13083652</v>
      </c>
      <c r="D2" s="8">
        <v>1.35419079650673E7</v>
      </c>
      <c r="E2" s="9">
        <v>42.2283488086615</v>
      </c>
      <c r="F2" s="4">
        <v>2023.0</v>
      </c>
    </row>
    <row r="3">
      <c r="A3" s="4" t="s">
        <v>13</v>
      </c>
      <c r="B3" s="4" t="s">
        <v>15</v>
      </c>
      <c r="C3" s="8">
        <v>7823383.83423075</v>
      </c>
      <c r="D3" s="8">
        <v>1.35419079650673E7</v>
      </c>
      <c r="E3" s="9">
        <v>57.7716511913385</v>
      </c>
      <c r="F3" s="4">
        <v>2023.0</v>
      </c>
    </row>
    <row r="4">
      <c r="A4" s="4"/>
      <c r="B4" s="4"/>
      <c r="C4" s="8"/>
      <c r="D4" s="8"/>
      <c r="E4" s="9"/>
      <c r="F4" s="4"/>
    </row>
    <row r="5">
      <c r="A5" s="4" t="s">
        <v>16</v>
      </c>
      <c r="B5" s="4" t="s">
        <v>14</v>
      </c>
      <c r="C5" s="8">
        <v>4450214.25992988</v>
      </c>
      <c r="D5" s="8">
        <v>1.15666963652033E7</v>
      </c>
      <c r="E5" s="9">
        <v>38.4743760830249</v>
      </c>
      <c r="F5" s="4">
        <v>2023.0</v>
      </c>
    </row>
    <row r="6">
      <c r="A6" s="4" t="s">
        <v>16</v>
      </c>
      <c r="B6" s="4" t="s">
        <v>15</v>
      </c>
      <c r="C6" s="8">
        <v>7116482.10527341</v>
      </c>
      <c r="D6" s="8">
        <v>1.15666963652033E7</v>
      </c>
      <c r="E6" s="9">
        <v>61.5256239169751</v>
      </c>
      <c r="F6" s="4">
        <v>2023.0</v>
      </c>
    </row>
    <row r="7">
      <c r="A7" s="4"/>
      <c r="B7" s="4"/>
      <c r="C7" s="8"/>
      <c r="D7" s="8"/>
      <c r="E7" s="9"/>
      <c r="F7" s="4"/>
    </row>
    <row r="8">
      <c r="A8" s="4" t="s">
        <v>17</v>
      </c>
      <c r="B8" s="4" t="s">
        <v>14</v>
      </c>
      <c r="C8" s="8">
        <v>1268285.48852515</v>
      </c>
      <c r="D8" s="8">
        <v>1975211.59986398</v>
      </c>
      <c r="E8" s="9">
        <v>64.2101073430558</v>
      </c>
      <c r="F8" s="4">
        <v>2023.0</v>
      </c>
    </row>
    <row r="9">
      <c r="A9" s="4" t="s">
        <v>17</v>
      </c>
      <c r="B9" s="4" t="s">
        <v>15</v>
      </c>
      <c r="C9" s="8">
        <v>706926.111338828</v>
      </c>
      <c r="D9" s="8">
        <v>1975211.59986398</v>
      </c>
      <c r="E9" s="9">
        <v>35.7898926569442</v>
      </c>
      <c r="F9" s="4">
        <v>2023.0</v>
      </c>
    </row>
    <row r="13">
      <c r="C13" s="10" t="s">
        <v>18</v>
      </c>
    </row>
    <row r="14">
      <c r="C14" s="11" t="s">
        <v>19</v>
      </c>
      <c r="D14" s="12">
        <v>1.35419079650673E7</v>
      </c>
      <c r="E14" s="13">
        <v>1.0</v>
      </c>
    </row>
    <row r="15">
      <c r="C15" s="11" t="s">
        <v>20</v>
      </c>
      <c r="D15" s="12">
        <v>1.15666963652033E7</v>
      </c>
      <c r="E15" s="14">
        <f>D15*E14/D14</f>
        <v>0.8541408194</v>
      </c>
    </row>
    <row r="16">
      <c r="C16" s="11" t="s">
        <v>21</v>
      </c>
      <c r="D16" s="12">
        <v>1975211.59986398</v>
      </c>
      <c r="E16" s="15">
        <f>E14-E15</f>
        <v>0.1458591806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8.0"/>
    <col customWidth="1" min="3" max="3" width="19.86"/>
    <col customWidth="1" min="4" max="5" width="13.14"/>
    <col customWidth="1" min="6" max="26" width="10.71"/>
  </cols>
  <sheetData>
    <row r="1">
      <c r="A1" s="1" t="s">
        <v>0</v>
      </c>
      <c r="B1" s="2" t="s">
        <v>1</v>
      </c>
      <c r="C1" s="3" t="s">
        <v>2</v>
      </c>
      <c r="D1" s="16" t="s">
        <v>22</v>
      </c>
      <c r="E1" s="17" t="s">
        <v>23</v>
      </c>
      <c r="F1" s="10" t="s">
        <v>24</v>
      </c>
      <c r="G1" s="18" t="s">
        <v>25</v>
      </c>
    </row>
    <row r="2">
      <c r="A2" s="4" t="s">
        <v>4</v>
      </c>
      <c r="B2" s="4">
        <v>1985.0</v>
      </c>
      <c r="C2" s="5">
        <v>1344244.63589939</v>
      </c>
      <c r="D2" s="19">
        <v>0.0</v>
      </c>
      <c r="E2" s="20">
        <v>0.680557281048757</v>
      </c>
      <c r="F2" s="21">
        <v>0.0</v>
      </c>
      <c r="G2" s="22">
        <v>0.0</v>
      </c>
    </row>
    <row r="3">
      <c r="A3" s="4" t="s">
        <v>4</v>
      </c>
      <c r="B3" s="4">
        <v>1990.0</v>
      </c>
      <c r="C3" s="5">
        <v>1324688.12005199</v>
      </c>
      <c r="D3" s="23">
        <f t="shared" ref="D3:D11" si="1">(-C2+C3)</f>
        <v>-19556.51585</v>
      </c>
      <c r="E3" s="20">
        <v>0.670656308490299</v>
      </c>
      <c r="F3" s="24">
        <f t="shared" ref="F3:F11" si="2">(D3*100/C2)</f>
        <v>-1.454833095</v>
      </c>
      <c r="G3" s="25">
        <f>F2+F3</f>
        <v>-1.454833095</v>
      </c>
    </row>
    <row r="4">
      <c r="A4" s="4" t="s">
        <v>4</v>
      </c>
      <c r="B4" s="4">
        <v>1995.0</v>
      </c>
      <c r="C4" s="5">
        <v>1321623.31817937</v>
      </c>
      <c r="D4" s="23">
        <f t="shared" si="1"/>
        <v>-3064.801873</v>
      </c>
      <c r="E4" s="20">
        <v>0.669104676314368</v>
      </c>
      <c r="F4" s="24">
        <f t="shared" si="2"/>
        <v>-0.2313602595</v>
      </c>
      <c r="G4" s="25">
        <f t="shared" ref="G4:G11" si="3">G3+F4</f>
        <v>-1.686193355</v>
      </c>
    </row>
    <row r="5">
      <c r="A5" s="4" t="s">
        <v>4</v>
      </c>
      <c r="B5" s="4">
        <v>2000.0</v>
      </c>
      <c r="C5" s="5">
        <v>1319666.39168797</v>
      </c>
      <c r="D5" s="23">
        <f t="shared" si="1"/>
        <v>-1956.926491</v>
      </c>
      <c r="E5" s="20">
        <v>0.668113933605315</v>
      </c>
      <c r="F5" s="24">
        <f t="shared" si="2"/>
        <v>-0.1480699125</v>
      </c>
      <c r="G5" s="25">
        <f t="shared" si="3"/>
        <v>-1.834263268</v>
      </c>
    </row>
    <row r="6">
      <c r="A6" s="4" t="s">
        <v>4</v>
      </c>
      <c r="B6" s="4">
        <v>2005.0</v>
      </c>
      <c r="C6" s="5">
        <v>1304892.77111141</v>
      </c>
      <c r="D6" s="23">
        <f t="shared" si="1"/>
        <v>-14773.62058</v>
      </c>
      <c r="E6" s="20">
        <v>0.6606344207381489</v>
      </c>
      <c r="F6" s="24">
        <f t="shared" si="2"/>
        <v>-1.119496614</v>
      </c>
      <c r="G6" s="25">
        <f t="shared" si="3"/>
        <v>-2.953759882</v>
      </c>
    </row>
    <row r="7">
      <c r="A7" s="4" t="s">
        <v>4</v>
      </c>
      <c r="B7" s="4">
        <v>2010.0</v>
      </c>
      <c r="C7" s="5">
        <v>1309124.25727695</v>
      </c>
      <c r="D7" s="23">
        <f t="shared" si="1"/>
        <v>4231.486166</v>
      </c>
      <c r="E7" s="20">
        <v>0.6627767158552039</v>
      </c>
      <c r="F7" s="24">
        <f t="shared" si="2"/>
        <v>0.3242784587</v>
      </c>
      <c r="G7" s="22">
        <f t="shared" si="3"/>
        <v>-2.629481423</v>
      </c>
    </row>
    <row r="8">
      <c r="A8" s="4" t="s">
        <v>4</v>
      </c>
      <c r="B8" s="4">
        <v>2015.0</v>
      </c>
      <c r="C8" s="5">
        <v>1301458.85039395</v>
      </c>
      <c r="D8" s="23">
        <f t="shared" si="1"/>
        <v>-7665.406883</v>
      </c>
      <c r="E8" s="20">
        <v>0.658895912966273</v>
      </c>
      <c r="F8" s="24">
        <f t="shared" si="2"/>
        <v>-0.5855369985</v>
      </c>
      <c r="G8" s="25">
        <f t="shared" si="3"/>
        <v>-3.215018422</v>
      </c>
    </row>
    <row r="9">
      <c r="A9" s="4" t="s">
        <v>4</v>
      </c>
      <c r="B9" s="4">
        <v>2020.0</v>
      </c>
      <c r="C9" s="5">
        <v>1283375.47727036</v>
      </c>
      <c r="D9" s="23">
        <f t="shared" si="1"/>
        <v>-18083.37312</v>
      </c>
      <c r="E9" s="20">
        <v>0.649740755551827</v>
      </c>
      <c r="F9" s="24">
        <f t="shared" si="2"/>
        <v>-1.389469449</v>
      </c>
      <c r="G9" s="25">
        <f t="shared" si="3"/>
        <v>-4.604487871</v>
      </c>
    </row>
    <row r="10">
      <c r="A10" s="4" t="s">
        <v>4</v>
      </c>
      <c r="B10" s="4">
        <v>2022.0</v>
      </c>
      <c r="C10" s="5">
        <v>1279435.73615199</v>
      </c>
      <c r="D10" s="23">
        <f t="shared" si="1"/>
        <v>-3939.741118</v>
      </c>
      <c r="E10" s="20">
        <v>0.6477461636212</v>
      </c>
      <c r="F10" s="24">
        <f t="shared" si="2"/>
        <v>-0.3069827333</v>
      </c>
      <c r="G10" s="25">
        <f t="shared" si="3"/>
        <v>-4.911470605</v>
      </c>
    </row>
    <row r="11">
      <c r="A11" s="4" t="s">
        <v>4</v>
      </c>
      <c r="B11" s="4">
        <v>2023.0</v>
      </c>
      <c r="C11" s="5">
        <v>1268285.48852515</v>
      </c>
      <c r="D11" s="23">
        <f t="shared" si="1"/>
        <v>-11150.24763</v>
      </c>
      <c r="E11" s="20">
        <v>0.642101073430558</v>
      </c>
      <c r="F11" s="24">
        <f t="shared" si="2"/>
        <v>-0.871497279</v>
      </c>
      <c r="G11" s="25">
        <f t="shared" si="3"/>
        <v>-5.782967884</v>
      </c>
    </row>
    <row r="12">
      <c r="A12" s="1" t="s">
        <v>0</v>
      </c>
      <c r="B12" s="2" t="s">
        <v>1</v>
      </c>
      <c r="C12" s="3" t="s">
        <v>2</v>
      </c>
      <c r="D12" s="16" t="s">
        <v>22</v>
      </c>
      <c r="E12" s="26" t="s">
        <v>3</v>
      </c>
      <c r="F12" s="10" t="s">
        <v>24</v>
      </c>
      <c r="G12" s="25"/>
    </row>
    <row r="13">
      <c r="A13" s="4" t="s">
        <v>5</v>
      </c>
      <c r="B13" s="4">
        <v>1985.0</v>
      </c>
      <c r="C13" s="5">
        <v>4844103.77987132</v>
      </c>
      <c r="D13" s="19">
        <v>0.0</v>
      </c>
      <c r="E13" s="20">
        <v>0.418797522380678</v>
      </c>
      <c r="F13" s="21">
        <v>0.0</v>
      </c>
      <c r="G13" s="27">
        <v>0.0</v>
      </c>
    </row>
    <row r="14">
      <c r="A14" s="4" t="s">
        <v>5</v>
      </c>
      <c r="B14" s="4">
        <v>1990.0</v>
      </c>
      <c r="C14" s="5">
        <v>4683830.63773518</v>
      </c>
      <c r="D14" s="23">
        <f t="shared" ref="D14:D22" si="4">(-C13+C14)</f>
        <v>-160273.1421</v>
      </c>
      <c r="E14" s="20">
        <v>0.404941090338554</v>
      </c>
      <c r="F14" s="24">
        <f t="shared" ref="F14:F22" si="5">(D14*100/C13)</f>
        <v>-3.308623213</v>
      </c>
      <c r="G14" s="25">
        <f t="shared" ref="G14:G22" si="6">G13+F14</f>
        <v>-3.308623213</v>
      </c>
    </row>
    <row r="15">
      <c r="A15" s="4" t="s">
        <v>5</v>
      </c>
      <c r="B15" s="4">
        <v>1995.0</v>
      </c>
      <c r="C15" s="5">
        <v>4481118.70261544</v>
      </c>
      <c r="D15" s="23">
        <f t="shared" si="4"/>
        <v>-202711.9351</v>
      </c>
      <c r="E15" s="20">
        <v>0.387415607804942</v>
      </c>
      <c r="F15" s="24">
        <f t="shared" si="5"/>
        <v>-4.327909158</v>
      </c>
      <c r="G15" s="25">
        <f t="shared" si="6"/>
        <v>-7.636532371</v>
      </c>
    </row>
    <row r="16">
      <c r="A16" s="4" t="s">
        <v>5</v>
      </c>
      <c r="B16" s="4">
        <v>2000.0</v>
      </c>
      <c r="C16" s="5">
        <v>4432951.43833454</v>
      </c>
      <c r="D16" s="23">
        <f t="shared" si="4"/>
        <v>-48167.26428</v>
      </c>
      <c r="E16" s="20">
        <v>0.383251301700576</v>
      </c>
      <c r="F16" s="24">
        <f t="shared" si="5"/>
        <v>-1.074893737</v>
      </c>
      <c r="G16" s="25">
        <f t="shared" si="6"/>
        <v>-8.711426108</v>
      </c>
    </row>
    <row r="17">
      <c r="A17" s="4" t="s">
        <v>5</v>
      </c>
      <c r="B17" s="4">
        <v>2005.0</v>
      </c>
      <c r="C17" s="5">
        <v>4371804.48457078</v>
      </c>
      <c r="D17" s="23">
        <f t="shared" si="4"/>
        <v>-61146.95376</v>
      </c>
      <c r="E17" s="20">
        <v>0.3779648351216</v>
      </c>
      <c r="F17" s="24">
        <f t="shared" si="5"/>
        <v>-1.379373418</v>
      </c>
      <c r="G17" s="25">
        <f t="shared" si="6"/>
        <v>-10.09079953</v>
      </c>
    </row>
    <row r="18">
      <c r="A18" s="4" t="s">
        <v>5</v>
      </c>
      <c r="B18" s="4">
        <v>2010.0</v>
      </c>
      <c r="C18" s="5">
        <v>4418814.02548195</v>
      </c>
      <c r="D18" s="23">
        <f t="shared" si="4"/>
        <v>47009.54091</v>
      </c>
      <c r="E18" s="20">
        <v>0.382029050125344</v>
      </c>
      <c r="F18" s="24">
        <f t="shared" si="5"/>
        <v>1.075289187</v>
      </c>
      <c r="G18" s="25">
        <f t="shared" si="6"/>
        <v>-9.015510339</v>
      </c>
    </row>
    <row r="19">
      <c r="A19" s="4" t="s">
        <v>5</v>
      </c>
      <c r="B19" s="4">
        <v>2015.0</v>
      </c>
      <c r="C19" s="5">
        <v>4465072.25308518</v>
      </c>
      <c r="D19" s="23">
        <f t="shared" si="4"/>
        <v>46258.2276</v>
      </c>
      <c r="E19" s="20">
        <v>0.386028310254835</v>
      </c>
      <c r="F19" s="24">
        <f t="shared" si="5"/>
        <v>1.046847125</v>
      </c>
      <c r="G19" s="25">
        <f t="shared" si="6"/>
        <v>-7.968663213</v>
      </c>
    </row>
    <row r="20">
      <c r="A20" s="4" t="s">
        <v>5</v>
      </c>
      <c r="B20" s="4">
        <v>2020.0</v>
      </c>
      <c r="C20" s="5">
        <v>4462933.21349035</v>
      </c>
      <c r="D20" s="23">
        <f t="shared" si="4"/>
        <v>-2139.039595</v>
      </c>
      <c r="E20" s="20">
        <v>0.385843379352588</v>
      </c>
      <c r="F20" s="24">
        <f t="shared" si="5"/>
        <v>-0.04790604661</v>
      </c>
      <c r="G20" s="25">
        <f t="shared" si="6"/>
        <v>-8.01656926</v>
      </c>
    </row>
    <row r="21">
      <c r="A21" s="4" t="s">
        <v>5</v>
      </c>
      <c r="B21" s="4">
        <v>2022.0</v>
      </c>
      <c r="C21" s="5">
        <v>4493430.9135003</v>
      </c>
      <c r="D21" s="23">
        <f t="shared" si="4"/>
        <v>30497.70001</v>
      </c>
      <c r="E21" s="20">
        <v>0.38848006134432195</v>
      </c>
      <c r="F21" s="24">
        <f t="shared" si="5"/>
        <v>0.6833555097</v>
      </c>
      <c r="G21" s="25">
        <f t="shared" si="6"/>
        <v>-7.33321375</v>
      </c>
    </row>
    <row r="22" ht="15.75" customHeight="1">
      <c r="A22" s="4" t="s">
        <v>5</v>
      </c>
      <c r="B22" s="4">
        <v>2023.0</v>
      </c>
      <c r="C22" s="5">
        <v>4450214.25992988</v>
      </c>
      <c r="D22" s="23">
        <f t="shared" si="4"/>
        <v>-43216.65357</v>
      </c>
      <c r="E22" s="20">
        <v>0.384743760830678</v>
      </c>
      <c r="F22" s="24">
        <f t="shared" si="5"/>
        <v>-0.9617740743</v>
      </c>
      <c r="G22" s="25">
        <f t="shared" si="6"/>
        <v>-8.294987825</v>
      </c>
    </row>
    <row r="23" ht="15.75" customHeight="1">
      <c r="A23" s="1" t="s">
        <v>0</v>
      </c>
      <c r="B23" s="2" t="s">
        <v>1</v>
      </c>
      <c r="C23" s="3" t="s">
        <v>2</v>
      </c>
      <c r="D23" s="16" t="s">
        <v>22</v>
      </c>
      <c r="E23" s="26" t="s">
        <v>3</v>
      </c>
      <c r="F23" s="10" t="s">
        <v>24</v>
      </c>
      <c r="G23" s="25"/>
    </row>
    <row r="24" ht="15.75" customHeight="1">
      <c r="A24" s="4" t="s">
        <v>6</v>
      </c>
      <c r="B24" s="4">
        <v>1985.0</v>
      </c>
      <c r="C24" s="5">
        <v>6188348.41577071</v>
      </c>
      <c r="D24" s="19">
        <v>0.0</v>
      </c>
      <c r="E24" s="20">
        <v>0.456977586300253</v>
      </c>
      <c r="F24" s="21">
        <v>0.0</v>
      </c>
      <c r="G24" s="27">
        <v>0.0</v>
      </c>
    </row>
    <row r="25" ht="15.75" customHeight="1">
      <c r="A25" s="4" t="s">
        <v>6</v>
      </c>
      <c r="B25" s="4">
        <v>1990.0</v>
      </c>
      <c r="C25" s="5">
        <v>6008518.75778717</v>
      </c>
      <c r="D25" s="23">
        <f t="shared" ref="D25:D33" si="7">(-C24+C25)</f>
        <v>-179829.658</v>
      </c>
      <c r="E25" s="20">
        <v>0.443698094337407</v>
      </c>
      <c r="F25" s="24">
        <f t="shared" ref="F25:F33" si="8">(D25*100/C24)</f>
        <v>-2.905939451</v>
      </c>
      <c r="G25" s="25">
        <f t="shared" ref="G25:G33" si="9">G24+F25</f>
        <v>-2.905939451</v>
      </c>
    </row>
    <row r="26" ht="15.75" customHeight="1">
      <c r="A26" s="4" t="s">
        <v>6</v>
      </c>
      <c r="B26" s="4">
        <v>1995.0</v>
      </c>
      <c r="C26" s="5">
        <v>5802742.02079482</v>
      </c>
      <c r="D26" s="23">
        <f t="shared" si="7"/>
        <v>-205776.737</v>
      </c>
      <c r="E26" s="20">
        <v>0.428502544528372</v>
      </c>
      <c r="F26" s="24">
        <f t="shared" si="8"/>
        <v>-3.424749847</v>
      </c>
      <c r="G26" s="25">
        <f t="shared" si="9"/>
        <v>-6.330689299</v>
      </c>
    </row>
    <row r="27" ht="15.75" customHeight="1">
      <c r="A27" s="4" t="s">
        <v>6</v>
      </c>
      <c r="B27" s="4">
        <v>2000.0</v>
      </c>
      <c r="C27" s="5">
        <v>5752617.83002251</v>
      </c>
      <c r="D27" s="23">
        <f t="shared" si="7"/>
        <v>-50124.19077</v>
      </c>
      <c r="E27" s="20">
        <v>0.42480113178050405</v>
      </c>
      <c r="F27" s="24">
        <f t="shared" si="8"/>
        <v>-0.8638018129</v>
      </c>
      <c r="G27" s="25">
        <f t="shared" si="9"/>
        <v>-7.194491111</v>
      </c>
    </row>
    <row r="28" ht="15.75" customHeight="1">
      <c r="A28" s="4" t="s">
        <v>6</v>
      </c>
      <c r="B28" s="4">
        <v>2005.0</v>
      </c>
      <c r="C28" s="5">
        <v>5676697.2556822</v>
      </c>
      <c r="D28" s="23">
        <f t="shared" si="7"/>
        <v>-75920.57434</v>
      </c>
      <c r="E28" s="20">
        <v>0.41919478926686204</v>
      </c>
      <c r="F28" s="24">
        <f t="shared" si="8"/>
        <v>-1.319756963</v>
      </c>
      <c r="G28" s="25">
        <f t="shared" si="9"/>
        <v>-8.514248074</v>
      </c>
    </row>
    <row r="29" ht="15.75" customHeight="1">
      <c r="A29" s="4" t="s">
        <v>6</v>
      </c>
      <c r="B29" s="4">
        <v>2010.0</v>
      </c>
      <c r="C29" s="5">
        <v>5727938.2827589</v>
      </c>
      <c r="D29" s="23">
        <f t="shared" si="7"/>
        <v>51241.02708</v>
      </c>
      <c r="E29" s="20">
        <v>0.42297867461071</v>
      </c>
      <c r="F29" s="24">
        <f t="shared" si="8"/>
        <v>0.9026556247</v>
      </c>
      <c r="G29" s="25">
        <f t="shared" si="9"/>
        <v>-7.611592449</v>
      </c>
    </row>
    <row r="30" ht="15.75" customHeight="1">
      <c r="A30" s="4" t="s">
        <v>6</v>
      </c>
      <c r="B30" s="4">
        <v>2015.0</v>
      </c>
      <c r="C30" s="5">
        <v>5766531.10347913</v>
      </c>
      <c r="D30" s="23">
        <f t="shared" si="7"/>
        <v>38592.82072</v>
      </c>
      <c r="E30" s="20">
        <v>0.425828555205071</v>
      </c>
      <c r="F30" s="24">
        <f t="shared" si="8"/>
        <v>0.6737646046</v>
      </c>
      <c r="G30" s="25">
        <f t="shared" si="9"/>
        <v>-6.937827845</v>
      </c>
    </row>
    <row r="31" ht="15.75" customHeight="1">
      <c r="A31" s="4" t="s">
        <v>6</v>
      </c>
      <c r="B31" s="4">
        <v>2020.0</v>
      </c>
      <c r="C31" s="5">
        <v>5746308.69076071</v>
      </c>
      <c r="D31" s="23">
        <f t="shared" si="7"/>
        <v>-20222.41272</v>
      </c>
      <c r="E31" s="20">
        <v>0.424335234413746</v>
      </c>
      <c r="F31" s="24">
        <f t="shared" si="8"/>
        <v>-0.3506859211</v>
      </c>
      <c r="G31" s="25">
        <f t="shared" si="9"/>
        <v>-7.288513766</v>
      </c>
    </row>
    <row r="32" ht="15.75" customHeight="1">
      <c r="A32" s="4" t="s">
        <v>6</v>
      </c>
      <c r="B32" s="4">
        <v>2022.0</v>
      </c>
      <c r="C32" s="5">
        <v>5772866.64965229</v>
      </c>
      <c r="D32" s="23">
        <f t="shared" si="7"/>
        <v>26557.95889</v>
      </c>
      <c r="E32" s="20">
        <v>0.42629640258592</v>
      </c>
      <c r="F32" s="24">
        <f t="shared" si="8"/>
        <v>0.4621742465</v>
      </c>
      <c r="G32" s="25">
        <f t="shared" si="9"/>
        <v>-6.826339519</v>
      </c>
    </row>
    <row r="33" ht="15.75" customHeight="1">
      <c r="A33" s="4" t="s">
        <v>6</v>
      </c>
      <c r="B33" s="4">
        <v>2023.0</v>
      </c>
      <c r="C33" s="5">
        <v>5718499.74845503</v>
      </c>
      <c r="D33" s="23">
        <f t="shared" si="7"/>
        <v>-54366.9012</v>
      </c>
      <c r="E33" s="20">
        <v>0.422281687574006</v>
      </c>
      <c r="F33" s="24">
        <f t="shared" si="8"/>
        <v>-0.9417661016</v>
      </c>
      <c r="G33" s="25">
        <f t="shared" si="9"/>
        <v>-7.768105621</v>
      </c>
    </row>
    <row r="34" ht="15.75" customHeight="1">
      <c r="A34" s="4"/>
      <c r="B34" s="4"/>
      <c r="C34" s="5"/>
      <c r="D34" s="23"/>
      <c r="E34" s="20"/>
      <c r="G34" s="25"/>
    </row>
    <row r="35" ht="15.75" customHeight="1">
      <c r="D35" s="28"/>
      <c r="E35" s="29"/>
      <c r="G35" s="25"/>
    </row>
    <row r="36" ht="15.75" customHeight="1">
      <c r="D36" s="28"/>
      <c r="E36" s="29"/>
      <c r="G36" s="25"/>
    </row>
    <row r="37" ht="15.75" customHeight="1">
      <c r="D37" s="28"/>
      <c r="E37" s="29"/>
      <c r="G37" s="25"/>
    </row>
    <row r="38" ht="15.75" customHeight="1">
      <c r="D38" s="28"/>
      <c r="E38" s="29"/>
      <c r="G38" s="25"/>
    </row>
    <row r="39" ht="15.75" customHeight="1">
      <c r="D39" s="28"/>
      <c r="E39" s="29"/>
      <c r="G39" s="25"/>
    </row>
    <row r="40" ht="15.75" customHeight="1">
      <c r="D40" s="28"/>
      <c r="E40" s="29"/>
      <c r="G40" s="25"/>
    </row>
    <row r="41" ht="15.75" customHeight="1">
      <c r="D41" s="28"/>
      <c r="E41" s="29"/>
      <c r="G41" s="25"/>
    </row>
    <row r="42" ht="15.75" customHeight="1">
      <c r="D42" s="28"/>
      <c r="E42" s="29"/>
      <c r="G42" s="25"/>
    </row>
    <row r="43" ht="15.75" customHeight="1">
      <c r="D43" s="28"/>
      <c r="E43" s="29"/>
      <c r="G43" s="25"/>
    </row>
    <row r="44" ht="15.75" customHeight="1">
      <c r="D44" s="28"/>
      <c r="E44" s="29"/>
      <c r="G44" s="25"/>
    </row>
    <row r="45" ht="15.75" customHeight="1">
      <c r="C45" s="7"/>
      <c r="D45" s="23"/>
      <c r="E45" s="20"/>
      <c r="G45" s="30"/>
    </row>
    <row r="46" ht="15.75" customHeight="1">
      <c r="D46" s="23"/>
      <c r="E46" s="20"/>
      <c r="G46" s="30"/>
    </row>
    <row r="47" ht="15.75" customHeight="1">
      <c r="D47" s="23"/>
      <c r="E47" s="20"/>
      <c r="G47" s="30"/>
    </row>
    <row r="48" ht="15.75" customHeight="1">
      <c r="D48" s="23"/>
      <c r="E48" s="20"/>
      <c r="G48" s="30"/>
    </row>
    <row r="49" ht="15.75" customHeight="1">
      <c r="D49" s="28"/>
      <c r="E49" s="29"/>
      <c r="G49" s="30"/>
    </row>
    <row r="50" ht="15.75" customHeight="1">
      <c r="D50" s="28"/>
      <c r="E50" s="29"/>
      <c r="G50" s="30"/>
    </row>
    <row r="51" ht="15.75" customHeight="1">
      <c r="D51" s="28"/>
      <c r="E51" s="29"/>
      <c r="G51" s="30"/>
    </row>
    <row r="52" ht="15.75" customHeight="1">
      <c r="D52" s="28"/>
      <c r="E52" s="29"/>
      <c r="G52" s="30"/>
    </row>
    <row r="53" ht="15.75" customHeight="1">
      <c r="D53" s="28"/>
      <c r="E53" s="29"/>
      <c r="G53" s="30"/>
    </row>
    <row r="54" ht="15.75" customHeight="1">
      <c r="D54" s="28"/>
      <c r="E54" s="29"/>
      <c r="G54" s="30"/>
    </row>
    <row r="55" ht="15.75" customHeight="1">
      <c r="D55" s="28"/>
      <c r="E55" s="29"/>
      <c r="G55" s="30"/>
    </row>
    <row r="56" ht="15.75" customHeight="1">
      <c r="D56" s="28"/>
      <c r="E56" s="29"/>
      <c r="G56" s="30"/>
    </row>
    <row r="57" ht="15.75" customHeight="1">
      <c r="D57" s="28"/>
      <c r="E57" s="29"/>
      <c r="G57" s="30"/>
    </row>
    <row r="58" ht="15.75" customHeight="1">
      <c r="D58" s="28"/>
      <c r="E58" s="29"/>
      <c r="G58" s="30"/>
    </row>
    <row r="59" ht="15.75" customHeight="1">
      <c r="D59" s="28"/>
      <c r="E59" s="29"/>
      <c r="G59" s="30"/>
    </row>
    <row r="60" ht="15.75" customHeight="1">
      <c r="D60" s="28"/>
      <c r="E60" s="29"/>
      <c r="G60" s="30"/>
    </row>
    <row r="61" ht="15.75" customHeight="1">
      <c r="D61" s="28"/>
      <c r="E61" s="29"/>
      <c r="G61" s="30"/>
    </row>
    <row r="62" ht="15.75" customHeight="1">
      <c r="D62" s="28"/>
      <c r="E62" s="29"/>
      <c r="G62" s="30"/>
    </row>
    <row r="63" ht="15.75" customHeight="1">
      <c r="D63" s="28"/>
      <c r="E63" s="29"/>
      <c r="G63" s="30"/>
    </row>
    <row r="64" ht="15.75" customHeight="1">
      <c r="D64" s="28"/>
      <c r="E64" s="29"/>
      <c r="G64" s="30"/>
    </row>
    <row r="65" ht="15.75" customHeight="1">
      <c r="D65" s="28"/>
      <c r="E65" s="29"/>
      <c r="G65" s="30"/>
    </row>
    <row r="66" ht="15.75" customHeight="1">
      <c r="D66" s="28"/>
      <c r="E66" s="29"/>
      <c r="G66" s="30"/>
    </row>
    <row r="67" ht="15.75" customHeight="1">
      <c r="D67" s="28"/>
      <c r="E67" s="29"/>
      <c r="G67" s="30"/>
    </row>
    <row r="68" ht="15.75" customHeight="1">
      <c r="D68" s="28"/>
      <c r="E68" s="29"/>
      <c r="G68" s="30"/>
    </row>
    <row r="69" ht="15.75" customHeight="1">
      <c r="D69" s="28"/>
      <c r="E69" s="29"/>
      <c r="G69" s="30"/>
    </row>
    <row r="70" ht="15.75" customHeight="1">
      <c r="D70" s="28"/>
      <c r="E70" s="29"/>
      <c r="G70" s="30"/>
    </row>
    <row r="71" ht="15.75" customHeight="1">
      <c r="D71" s="28"/>
      <c r="E71" s="29"/>
      <c r="G71" s="30"/>
    </row>
    <row r="72" ht="15.75" customHeight="1">
      <c r="D72" s="28"/>
      <c r="E72" s="29"/>
      <c r="G72" s="30"/>
    </row>
    <row r="73" ht="15.75" customHeight="1">
      <c r="D73" s="28"/>
      <c r="E73" s="29"/>
      <c r="G73" s="30"/>
    </row>
    <row r="74" ht="15.75" customHeight="1">
      <c r="D74" s="28"/>
      <c r="E74" s="29"/>
      <c r="G74" s="30"/>
    </row>
    <row r="75" ht="15.75" customHeight="1">
      <c r="D75" s="28"/>
      <c r="E75" s="29"/>
      <c r="G75" s="30"/>
    </row>
    <row r="76" ht="15.75" customHeight="1">
      <c r="D76" s="28"/>
      <c r="E76" s="29"/>
      <c r="G76" s="30"/>
    </row>
    <row r="77" ht="15.75" customHeight="1">
      <c r="D77" s="28"/>
      <c r="E77" s="29"/>
      <c r="G77" s="30"/>
    </row>
    <row r="78" ht="15.75" customHeight="1">
      <c r="D78" s="28"/>
      <c r="E78" s="29"/>
      <c r="G78" s="30"/>
    </row>
    <row r="79" ht="15.75" customHeight="1">
      <c r="D79" s="28"/>
      <c r="E79" s="29"/>
      <c r="G79" s="30"/>
    </row>
    <row r="80" ht="15.75" customHeight="1">
      <c r="D80" s="28"/>
      <c r="E80" s="29"/>
      <c r="G80" s="30"/>
    </row>
    <row r="81" ht="15.75" customHeight="1">
      <c r="D81" s="28"/>
      <c r="E81" s="29"/>
      <c r="G81" s="30"/>
    </row>
    <row r="82" ht="15.75" customHeight="1">
      <c r="D82" s="28"/>
      <c r="E82" s="29"/>
      <c r="G82" s="30"/>
    </row>
    <row r="83" ht="15.75" customHeight="1">
      <c r="D83" s="28"/>
      <c r="E83" s="29"/>
      <c r="G83" s="30"/>
    </row>
    <row r="84" ht="15.75" customHeight="1">
      <c r="D84" s="28"/>
      <c r="E84" s="29"/>
      <c r="G84" s="30"/>
    </row>
    <row r="85" ht="15.75" customHeight="1">
      <c r="D85" s="28"/>
      <c r="E85" s="29"/>
      <c r="G85" s="30"/>
    </row>
    <row r="86" ht="15.75" customHeight="1">
      <c r="D86" s="28"/>
      <c r="E86" s="29"/>
      <c r="G86" s="30"/>
    </row>
    <row r="87" ht="15.75" customHeight="1">
      <c r="D87" s="28"/>
      <c r="E87" s="29"/>
      <c r="G87" s="30"/>
    </row>
    <row r="88" ht="15.75" customHeight="1">
      <c r="D88" s="28"/>
      <c r="E88" s="29"/>
      <c r="G88" s="30"/>
    </row>
    <row r="89" ht="15.75" customHeight="1">
      <c r="D89" s="28"/>
      <c r="E89" s="29"/>
      <c r="G89" s="30"/>
    </row>
    <row r="90" ht="15.75" customHeight="1">
      <c r="D90" s="28"/>
      <c r="E90" s="29"/>
      <c r="G90" s="30"/>
    </row>
    <row r="91" ht="15.75" customHeight="1">
      <c r="D91" s="28"/>
      <c r="E91" s="29"/>
      <c r="G91" s="30"/>
    </row>
    <row r="92" ht="15.75" customHeight="1">
      <c r="D92" s="28"/>
      <c r="E92" s="29"/>
      <c r="G92" s="30"/>
    </row>
    <row r="93" ht="15.75" customHeight="1">
      <c r="D93" s="28"/>
      <c r="E93" s="29"/>
      <c r="G93" s="30"/>
    </row>
    <row r="94" ht="15.75" customHeight="1">
      <c r="D94" s="28"/>
      <c r="E94" s="29"/>
      <c r="G94" s="30"/>
    </row>
    <row r="95" ht="15.75" customHeight="1">
      <c r="D95" s="28"/>
      <c r="E95" s="29"/>
      <c r="G95" s="30"/>
    </row>
    <row r="96" ht="15.75" customHeight="1">
      <c r="D96" s="28"/>
      <c r="E96" s="29"/>
      <c r="G96" s="30"/>
    </row>
    <row r="97" ht="15.75" customHeight="1">
      <c r="D97" s="28"/>
      <c r="E97" s="29"/>
      <c r="G97" s="30"/>
    </row>
    <row r="98" ht="15.75" customHeight="1">
      <c r="D98" s="28"/>
      <c r="E98" s="29"/>
      <c r="G98" s="30"/>
    </row>
    <row r="99" ht="15.75" customHeight="1">
      <c r="D99" s="28"/>
      <c r="E99" s="29"/>
      <c r="G99" s="30"/>
    </row>
    <row r="100" ht="15.75" customHeight="1">
      <c r="D100" s="28"/>
      <c r="E100" s="29"/>
      <c r="G100" s="30"/>
    </row>
    <row r="101" ht="15.75" customHeight="1">
      <c r="D101" s="28"/>
      <c r="E101" s="29"/>
      <c r="G101" s="30"/>
    </row>
    <row r="102" ht="15.75" customHeight="1">
      <c r="D102" s="28"/>
      <c r="E102" s="29"/>
      <c r="G102" s="30"/>
    </row>
    <row r="103" ht="15.75" customHeight="1">
      <c r="D103" s="28"/>
      <c r="E103" s="29"/>
      <c r="G103" s="30"/>
    </row>
    <row r="104" ht="15.75" customHeight="1">
      <c r="D104" s="28"/>
      <c r="E104" s="29"/>
      <c r="G104" s="30"/>
    </row>
    <row r="105" ht="15.75" customHeight="1">
      <c r="D105" s="28"/>
      <c r="E105" s="29"/>
      <c r="G105" s="30"/>
    </row>
    <row r="106" ht="15.75" customHeight="1">
      <c r="D106" s="28"/>
      <c r="E106" s="29"/>
      <c r="G106" s="30"/>
    </row>
    <row r="107" ht="15.75" customHeight="1">
      <c r="D107" s="28"/>
      <c r="E107" s="29"/>
      <c r="G107" s="30"/>
    </row>
    <row r="108" ht="15.75" customHeight="1">
      <c r="D108" s="28"/>
      <c r="E108" s="29"/>
      <c r="G108" s="30"/>
    </row>
    <row r="109" ht="15.75" customHeight="1">
      <c r="D109" s="28"/>
      <c r="E109" s="29"/>
      <c r="G109" s="30"/>
    </row>
    <row r="110" ht="15.75" customHeight="1">
      <c r="D110" s="28"/>
      <c r="E110" s="29"/>
      <c r="G110" s="30"/>
    </row>
    <row r="111" ht="15.75" customHeight="1">
      <c r="D111" s="28"/>
      <c r="E111" s="29"/>
      <c r="G111" s="30"/>
    </row>
    <row r="112" ht="15.75" customHeight="1">
      <c r="D112" s="28"/>
      <c r="E112" s="29"/>
      <c r="G112" s="30"/>
    </row>
    <row r="113" ht="15.75" customHeight="1">
      <c r="D113" s="28"/>
      <c r="E113" s="29"/>
      <c r="G113" s="30"/>
    </row>
    <row r="114" ht="15.75" customHeight="1">
      <c r="D114" s="28"/>
      <c r="E114" s="29"/>
      <c r="G114" s="30"/>
    </row>
    <row r="115" ht="15.75" customHeight="1">
      <c r="D115" s="28"/>
      <c r="E115" s="29"/>
      <c r="G115" s="30"/>
    </row>
    <row r="116" ht="15.75" customHeight="1">
      <c r="D116" s="28"/>
      <c r="E116" s="29"/>
      <c r="G116" s="30"/>
    </row>
    <row r="117" ht="15.75" customHeight="1">
      <c r="D117" s="28"/>
      <c r="E117" s="29"/>
      <c r="G117" s="30"/>
    </row>
    <row r="118" ht="15.75" customHeight="1">
      <c r="D118" s="28"/>
      <c r="E118" s="29"/>
      <c r="G118" s="30"/>
    </row>
    <row r="119" ht="15.75" customHeight="1">
      <c r="D119" s="28"/>
      <c r="E119" s="29"/>
      <c r="G119" s="30"/>
    </row>
    <row r="120" ht="15.75" customHeight="1">
      <c r="D120" s="28"/>
      <c r="E120" s="29"/>
      <c r="G120" s="30"/>
    </row>
    <row r="121" ht="15.75" customHeight="1">
      <c r="D121" s="28"/>
      <c r="E121" s="29"/>
      <c r="G121" s="30"/>
    </row>
    <row r="122" ht="15.75" customHeight="1">
      <c r="D122" s="28"/>
      <c r="E122" s="29"/>
      <c r="G122" s="30"/>
    </row>
    <row r="123" ht="15.75" customHeight="1">
      <c r="D123" s="28"/>
      <c r="E123" s="29"/>
      <c r="G123" s="30"/>
    </row>
    <row r="124" ht="15.75" customHeight="1">
      <c r="D124" s="28"/>
      <c r="E124" s="29"/>
      <c r="G124" s="30"/>
    </row>
    <row r="125" ht="15.75" customHeight="1">
      <c r="D125" s="28"/>
      <c r="E125" s="29"/>
      <c r="G125" s="30"/>
    </row>
    <row r="126" ht="15.75" customHeight="1">
      <c r="D126" s="28"/>
      <c r="E126" s="29"/>
      <c r="G126" s="30"/>
    </row>
    <row r="127" ht="15.75" customHeight="1">
      <c r="D127" s="28"/>
      <c r="E127" s="29"/>
      <c r="G127" s="30"/>
    </row>
    <row r="128" ht="15.75" customHeight="1">
      <c r="D128" s="28"/>
      <c r="E128" s="29"/>
      <c r="G128" s="30"/>
    </row>
    <row r="129" ht="15.75" customHeight="1">
      <c r="D129" s="28"/>
      <c r="E129" s="29"/>
      <c r="G129" s="30"/>
    </row>
    <row r="130" ht="15.75" customHeight="1">
      <c r="D130" s="28"/>
      <c r="E130" s="29"/>
      <c r="G130" s="30"/>
    </row>
    <row r="131" ht="15.75" customHeight="1">
      <c r="D131" s="28"/>
      <c r="E131" s="29"/>
      <c r="G131" s="30"/>
    </row>
    <row r="132" ht="15.75" customHeight="1">
      <c r="D132" s="28"/>
      <c r="E132" s="29"/>
      <c r="G132" s="30"/>
    </row>
    <row r="133" ht="15.75" customHeight="1">
      <c r="D133" s="28"/>
      <c r="E133" s="29"/>
      <c r="G133" s="30"/>
    </row>
    <row r="134" ht="15.75" customHeight="1">
      <c r="D134" s="28"/>
      <c r="E134" s="29"/>
      <c r="G134" s="30"/>
    </row>
    <row r="135" ht="15.75" customHeight="1">
      <c r="D135" s="28"/>
      <c r="E135" s="29"/>
      <c r="G135" s="30"/>
    </row>
    <row r="136" ht="15.75" customHeight="1">
      <c r="D136" s="28"/>
      <c r="E136" s="29"/>
      <c r="G136" s="30"/>
    </row>
    <row r="137" ht="15.75" customHeight="1">
      <c r="D137" s="28"/>
      <c r="E137" s="29"/>
      <c r="G137" s="30"/>
    </row>
    <row r="138" ht="15.75" customHeight="1">
      <c r="D138" s="28"/>
      <c r="E138" s="29"/>
      <c r="G138" s="30"/>
    </row>
    <row r="139" ht="15.75" customHeight="1">
      <c r="D139" s="28"/>
      <c r="E139" s="29"/>
      <c r="G139" s="30"/>
    </row>
    <row r="140" ht="15.75" customHeight="1">
      <c r="D140" s="28"/>
      <c r="E140" s="29"/>
      <c r="G140" s="30"/>
    </row>
    <row r="141" ht="15.75" customHeight="1">
      <c r="D141" s="28"/>
      <c r="E141" s="29"/>
      <c r="G141" s="30"/>
    </row>
    <row r="142" ht="15.75" customHeight="1">
      <c r="D142" s="28"/>
      <c r="E142" s="29"/>
      <c r="G142" s="30"/>
    </row>
    <row r="143" ht="15.75" customHeight="1">
      <c r="D143" s="28"/>
      <c r="E143" s="29"/>
      <c r="G143" s="30"/>
    </row>
    <row r="144" ht="15.75" customHeight="1">
      <c r="D144" s="28"/>
      <c r="E144" s="29"/>
      <c r="G144" s="30"/>
    </row>
    <row r="145" ht="15.75" customHeight="1">
      <c r="D145" s="28"/>
      <c r="E145" s="29"/>
      <c r="G145" s="30"/>
    </row>
    <row r="146" ht="15.75" customHeight="1">
      <c r="D146" s="28"/>
      <c r="E146" s="29"/>
      <c r="G146" s="30"/>
    </row>
    <row r="147" ht="15.75" customHeight="1">
      <c r="D147" s="28"/>
      <c r="E147" s="29"/>
      <c r="G147" s="30"/>
    </row>
    <row r="148" ht="15.75" customHeight="1">
      <c r="D148" s="28"/>
      <c r="E148" s="29"/>
      <c r="G148" s="30"/>
    </row>
    <row r="149" ht="15.75" customHeight="1">
      <c r="D149" s="28"/>
      <c r="E149" s="29"/>
      <c r="G149" s="30"/>
    </row>
    <row r="150" ht="15.75" customHeight="1">
      <c r="D150" s="28"/>
      <c r="E150" s="29"/>
      <c r="G150" s="30"/>
    </row>
    <row r="151" ht="15.75" customHeight="1">
      <c r="D151" s="28"/>
      <c r="E151" s="29"/>
      <c r="G151" s="30"/>
    </row>
    <row r="152" ht="15.75" customHeight="1">
      <c r="D152" s="28"/>
      <c r="E152" s="29"/>
      <c r="G152" s="30"/>
    </row>
    <row r="153" ht="15.75" customHeight="1">
      <c r="D153" s="28"/>
      <c r="E153" s="29"/>
      <c r="G153" s="30"/>
    </row>
    <row r="154" ht="15.75" customHeight="1">
      <c r="D154" s="28"/>
      <c r="E154" s="29"/>
      <c r="G154" s="30"/>
    </row>
    <row r="155" ht="15.75" customHeight="1">
      <c r="D155" s="28"/>
      <c r="E155" s="29"/>
      <c r="G155" s="30"/>
    </row>
    <row r="156" ht="15.75" customHeight="1">
      <c r="D156" s="28"/>
      <c r="E156" s="29"/>
      <c r="G156" s="30"/>
    </row>
    <row r="157" ht="15.75" customHeight="1">
      <c r="D157" s="28"/>
      <c r="E157" s="29"/>
      <c r="G157" s="30"/>
    </row>
    <row r="158" ht="15.75" customHeight="1">
      <c r="D158" s="28"/>
      <c r="E158" s="29"/>
      <c r="G158" s="30"/>
    </row>
    <row r="159" ht="15.75" customHeight="1">
      <c r="D159" s="28"/>
      <c r="E159" s="29"/>
      <c r="G159" s="30"/>
    </row>
    <row r="160" ht="15.75" customHeight="1">
      <c r="D160" s="28"/>
      <c r="E160" s="29"/>
      <c r="G160" s="30"/>
    </row>
    <row r="161" ht="15.75" customHeight="1">
      <c r="D161" s="28"/>
      <c r="E161" s="29"/>
      <c r="G161" s="30"/>
    </row>
    <row r="162" ht="15.75" customHeight="1">
      <c r="D162" s="28"/>
      <c r="E162" s="29"/>
      <c r="G162" s="30"/>
    </row>
    <row r="163" ht="15.75" customHeight="1">
      <c r="D163" s="28"/>
      <c r="E163" s="29"/>
      <c r="G163" s="30"/>
    </row>
    <row r="164" ht="15.75" customHeight="1">
      <c r="D164" s="28"/>
      <c r="E164" s="29"/>
      <c r="G164" s="30"/>
    </row>
    <row r="165" ht="15.75" customHeight="1">
      <c r="D165" s="28"/>
      <c r="E165" s="29"/>
      <c r="G165" s="30"/>
    </row>
    <row r="166" ht="15.75" customHeight="1">
      <c r="D166" s="28"/>
      <c r="E166" s="29"/>
      <c r="G166" s="30"/>
    </row>
    <row r="167" ht="15.75" customHeight="1">
      <c r="D167" s="28"/>
      <c r="E167" s="29"/>
      <c r="G167" s="30"/>
    </row>
    <row r="168" ht="15.75" customHeight="1">
      <c r="D168" s="28"/>
      <c r="E168" s="29"/>
      <c r="G168" s="30"/>
    </row>
    <row r="169" ht="15.75" customHeight="1">
      <c r="D169" s="28"/>
      <c r="E169" s="29"/>
      <c r="G169" s="30"/>
    </row>
    <row r="170" ht="15.75" customHeight="1">
      <c r="D170" s="28"/>
      <c r="E170" s="29"/>
      <c r="G170" s="30"/>
    </row>
    <row r="171" ht="15.75" customHeight="1">
      <c r="D171" s="28"/>
      <c r="E171" s="29"/>
      <c r="G171" s="30"/>
    </row>
    <row r="172" ht="15.75" customHeight="1">
      <c r="D172" s="28"/>
      <c r="E172" s="29"/>
      <c r="G172" s="30"/>
    </row>
    <row r="173" ht="15.75" customHeight="1">
      <c r="D173" s="28"/>
      <c r="E173" s="29"/>
      <c r="G173" s="30"/>
    </row>
    <row r="174" ht="15.75" customHeight="1">
      <c r="D174" s="28"/>
      <c r="E174" s="29"/>
      <c r="G174" s="30"/>
    </row>
    <row r="175" ht="15.75" customHeight="1">
      <c r="D175" s="28"/>
      <c r="E175" s="29"/>
      <c r="G175" s="30"/>
    </row>
    <row r="176" ht="15.75" customHeight="1">
      <c r="D176" s="28"/>
      <c r="E176" s="29"/>
      <c r="G176" s="30"/>
    </row>
    <row r="177" ht="15.75" customHeight="1">
      <c r="D177" s="28"/>
      <c r="E177" s="29"/>
      <c r="G177" s="30"/>
    </row>
    <row r="178" ht="15.75" customHeight="1">
      <c r="D178" s="28"/>
      <c r="E178" s="29"/>
      <c r="G178" s="30"/>
    </row>
    <row r="179" ht="15.75" customHeight="1">
      <c r="D179" s="28"/>
      <c r="E179" s="29"/>
      <c r="G179" s="30"/>
    </row>
    <row r="180" ht="15.75" customHeight="1">
      <c r="D180" s="28"/>
      <c r="E180" s="29"/>
      <c r="G180" s="30"/>
    </row>
    <row r="181" ht="15.75" customHeight="1">
      <c r="D181" s="28"/>
      <c r="E181" s="29"/>
      <c r="G181" s="30"/>
    </row>
    <row r="182" ht="15.75" customHeight="1">
      <c r="D182" s="28"/>
      <c r="E182" s="29"/>
      <c r="G182" s="30"/>
    </row>
    <row r="183" ht="15.75" customHeight="1">
      <c r="D183" s="28"/>
      <c r="E183" s="29"/>
      <c r="G183" s="30"/>
    </row>
    <row r="184" ht="15.75" customHeight="1">
      <c r="D184" s="28"/>
      <c r="E184" s="29"/>
      <c r="G184" s="30"/>
    </row>
    <row r="185" ht="15.75" customHeight="1">
      <c r="D185" s="28"/>
      <c r="E185" s="29"/>
      <c r="G185" s="30"/>
    </row>
    <row r="186" ht="15.75" customHeight="1">
      <c r="D186" s="28"/>
      <c r="E186" s="29"/>
      <c r="G186" s="30"/>
    </row>
    <row r="187" ht="15.75" customHeight="1">
      <c r="D187" s="28"/>
      <c r="E187" s="29"/>
      <c r="G187" s="30"/>
    </row>
    <row r="188" ht="15.75" customHeight="1">
      <c r="D188" s="28"/>
      <c r="E188" s="29"/>
      <c r="G188" s="30"/>
    </row>
    <row r="189" ht="15.75" customHeight="1">
      <c r="D189" s="28"/>
      <c r="E189" s="29"/>
      <c r="G189" s="30"/>
    </row>
    <row r="190" ht="15.75" customHeight="1">
      <c r="D190" s="28"/>
      <c r="E190" s="29"/>
      <c r="G190" s="30"/>
    </row>
    <row r="191" ht="15.75" customHeight="1">
      <c r="D191" s="28"/>
      <c r="E191" s="29"/>
      <c r="G191" s="30"/>
    </row>
    <row r="192" ht="15.75" customHeight="1">
      <c r="D192" s="28"/>
      <c r="E192" s="29"/>
      <c r="G192" s="30"/>
    </row>
    <row r="193" ht="15.75" customHeight="1">
      <c r="D193" s="28"/>
      <c r="E193" s="29"/>
      <c r="G193" s="30"/>
    </row>
    <row r="194" ht="15.75" customHeight="1">
      <c r="D194" s="28"/>
      <c r="E194" s="29"/>
      <c r="G194" s="30"/>
    </row>
    <row r="195" ht="15.75" customHeight="1">
      <c r="D195" s="28"/>
      <c r="E195" s="29"/>
      <c r="G195" s="30"/>
    </row>
    <row r="196" ht="15.75" customHeight="1">
      <c r="D196" s="28"/>
      <c r="E196" s="29"/>
      <c r="G196" s="30"/>
    </row>
    <row r="197" ht="15.75" customHeight="1">
      <c r="D197" s="28"/>
      <c r="E197" s="29"/>
      <c r="G197" s="30"/>
    </row>
    <row r="198" ht="15.75" customHeight="1">
      <c r="D198" s="28"/>
      <c r="E198" s="29"/>
      <c r="G198" s="30"/>
    </row>
    <row r="199" ht="15.75" customHeight="1">
      <c r="D199" s="28"/>
      <c r="E199" s="29"/>
      <c r="G199" s="30"/>
    </row>
    <row r="200" ht="15.75" customHeight="1">
      <c r="D200" s="28"/>
      <c r="E200" s="29"/>
      <c r="G200" s="30"/>
    </row>
    <row r="201" ht="15.75" customHeight="1">
      <c r="D201" s="28"/>
      <c r="E201" s="29"/>
      <c r="G201" s="30"/>
    </row>
    <row r="202" ht="15.75" customHeight="1">
      <c r="D202" s="28"/>
      <c r="E202" s="29"/>
      <c r="G202" s="30"/>
    </row>
    <row r="203" ht="15.75" customHeight="1">
      <c r="D203" s="28"/>
      <c r="E203" s="29"/>
      <c r="G203" s="30"/>
    </row>
    <row r="204" ht="15.75" customHeight="1">
      <c r="D204" s="28"/>
      <c r="E204" s="29"/>
      <c r="G204" s="30"/>
    </row>
    <row r="205" ht="15.75" customHeight="1">
      <c r="D205" s="28"/>
      <c r="E205" s="29"/>
      <c r="G205" s="30"/>
    </row>
    <row r="206" ht="15.75" customHeight="1">
      <c r="D206" s="28"/>
      <c r="E206" s="29"/>
      <c r="G206" s="30"/>
    </row>
    <row r="207" ht="15.75" customHeight="1">
      <c r="D207" s="28"/>
      <c r="E207" s="29"/>
      <c r="G207" s="30"/>
    </row>
    <row r="208" ht="15.75" customHeight="1">
      <c r="D208" s="28"/>
      <c r="E208" s="29"/>
      <c r="G208" s="30"/>
    </row>
    <row r="209" ht="15.75" customHeight="1">
      <c r="D209" s="28"/>
      <c r="E209" s="29"/>
      <c r="G209" s="30"/>
    </row>
    <row r="210" ht="15.75" customHeight="1">
      <c r="D210" s="28"/>
      <c r="E210" s="29"/>
      <c r="G210" s="30"/>
    </row>
    <row r="211" ht="15.75" customHeight="1">
      <c r="D211" s="28"/>
      <c r="E211" s="29"/>
      <c r="G211" s="30"/>
    </row>
    <row r="212" ht="15.75" customHeight="1">
      <c r="D212" s="28"/>
      <c r="E212" s="29"/>
      <c r="G212" s="30"/>
    </row>
    <row r="213" ht="15.75" customHeight="1">
      <c r="D213" s="28"/>
      <c r="E213" s="29"/>
      <c r="G213" s="30"/>
    </row>
    <row r="214" ht="15.75" customHeight="1">
      <c r="D214" s="28"/>
      <c r="E214" s="29"/>
      <c r="G214" s="30"/>
    </row>
    <row r="215" ht="15.75" customHeight="1">
      <c r="D215" s="28"/>
      <c r="E215" s="29"/>
      <c r="G215" s="30"/>
    </row>
    <row r="216" ht="15.75" customHeight="1">
      <c r="D216" s="28"/>
      <c r="E216" s="29"/>
      <c r="G216" s="30"/>
    </row>
    <row r="217" ht="15.75" customHeight="1">
      <c r="D217" s="28"/>
      <c r="E217" s="29"/>
      <c r="G217" s="30"/>
    </row>
    <row r="218" ht="15.75" customHeight="1">
      <c r="D218" s="28"/>
      <c r="E218" s="29"/>
      <c r="G218" s="30"/>
    </row>
    <row r="219" ht="15.75" customHeight="1">
      <c r="D219" s="28"/>
      <c r="E219" s="29"/>
      <c r="G219" s="30"/>
    </row>
    <row r="220" ht="15.75" customHeight="1">
      <c r="D220" s="28"/>
      <c r="E220" s="29"/>
      <c r="G220" s="30"/>
    </row>
    <row r="221" ht="15.75" customHeight="1">
      <c r="D221" s="28"/>
      <c r="E221" s="29"/>
      <c r="G221" s="30"/>
    </row>
    <row r="222" ht="15.75" customHeight="1">
      <c r="D222" s="28"/>
      <c r="E222" s="29"/>
      <c r="G222" s="30"/>
    </row>
    <row r="223" ht="15.75" customHeight="1">
      <c r="D223" s="28"/>
      <c r="E223" s="29"/>
      <c r="G223" s="30"/>
    </row>
    <row r="224" ht="15.75" customHeight="1">
      <c r="D224" s="28"/>
      <c r="E224" s="29"/>
      <c r="G224" s="30"/>
    </row>
    <row r="225" ht="15.75" customHeight="1">
      <c r="D225" s="28"/>
      <c r="E225" s="29"/>
      <c r="G225" s="30"/>
    </row>
    <row r="226" ht="15.75" customHeight="1">
      <c r="D226" s="28"/>
      <c r="E226" s="29"/>
      <c r="G226" s="30"/>
    </row>
    <row r="227" ht="15.75" customHeight="1">
      <c r="D227" s="28"/>
      <c r="E227" s="29"/>
      <c r="G227" s="30"/>
    </row>
    <row r="228" ht="15.75" customHeight="1">
      <c r="D228" s="28"/>
      <c r="E228" s="29"/>
      <c r="G228" s="30"/>
    </row>
    <row r="229" ht="15.75" customHeight="1">
      <c r="D229" s="28"/>
      <c r="E229" s="29"/>
      <c r="G229" s="30"/>
    </row>
    <row r="230" ht="15.75" customHeight="1">
      <c r="D230" s="28"/>
      <c r="E230" s="29"/>
      <c r="G230" s="30"/>
    </row>
    <row r="231" ht="15.75" customHeight="1">
      <c r="D231" s="28"/>
      <c r="E231" s="29"/>
      <c r="G231" s="30"/>
    </row>
    <row r="232" ht="15.75" customHeight="1">
      <c r="D232" s="28"/>
      <c r="E232" s="29"/>
      <c r="G232" s="30"/>
    </row>
    <row r="233" ht="15.75" customHeight="1">
      <c r="D233" s="28"/>
      <c r="E233" s="29"/>
      <c r="G233" s="30"/>
    </row>
    <row r="234" ht="15.75" customHeight="1">
      <c r="D234" s="28"/>
      <c r="E234" s="29"/>
      <c r="G234" s="30"/>
    </row>
    <row r="235" ht="15.75" customHeight="1">
      <c r="D235" s="28"/>
      <c r="E235" s="29"/>
      <c r="G235" s="30"/>
    </row>
    <row r="236" ht="15.75" customHeight="1">
      <c r="D236" s="28"/>
      <c r="E236" s="29"/>
      <c r="G236" s="30"/>
    </row>
    <row r="237" ht="15.75" customHeight="1">
      <c r="D237" s="28"/>
      <c r="E237" s="29"/>
      <c r="G237" s="30"/>
    </row>
    <row r="238" ht="15.75" customHeight="1">
      <c r="D238" s="28"/>
      <c r="E238" s="29"/>
      <c r="G238" s="30"/>
    </row>
    <row r="239" ht="15.75" customHeight="1">
      <c r="D239" s="28"/>
      <c r="E239" s="29"/>
      <c r="G239" s="30"/>
    </row>
    <row r="240" ht="15.75" customHeight="1">
      <c r="D240" s="28"/>
      <c r="E240" s="29"/>
      <c r="G240" s="30"/>
    </row>
    <row r="241" ht="15.75" customHeight="1">
      <c r="D241" s="28"/>
      <c r="E241" s="29"/>
      <c r="G241" s="30"/>
    </row>
    <row r="242" ht="15.75" customHeight="1">
      <c r="D242" s="28"/>
      <c r="E242" s="29"/>
      <c r="G242" s="30"/>
    </row>
    <row r="243" ht="15.75" customHeight="1">
      <c r="D243" s="28"/>
      <c r="E243" s="29"/>
      <c r="G243" s="30"/>
    </row>
    <row r="244" ht="15.75" customHeight="1">
      <c r="D244" s="28"/>
      <c r="E244" s="29"/>
      <c r="G244" s="30"/>
    </row>
    <row r="245" ht="15.75" customHeight="1">
      <c r="D245" s="28"/>
      <c r="E245" s="29"/>
      <c r="G245" s="30"/>
    </row>
    <row r="246" ht="15.75" customHeight="1">
      <c r="D246" s="28"/>
      <c r="E246" s="29"/>
      <c r="G246" s="30"/>
    </row>
    <row r="247" ht="15.75" customHeight="1">
      <c r="D247" s="28"/>
      <c r="E247" s="29"/>
      <c r="G247" s="30"/>
    </row>
    <row r="248" ht="15.75" customHeight="1">
      <c r="D248" s="28"/>
      <c r="E248" s="29"/>
      <c r="G248" s="30"/>
    </row>
    <row r="249" ht="15.75" customHeight="1">
      <c r="D249" s="28"/>
      <c r="E249" s="29"/>
      <c r="G249" s="30"/>
    </row>
    <row r="250" ht="15.75" customHeight="1">
      <c r="D250" s="28"/>
      <c r="E250" s="29"/>
      <c r="G250" s="30"/>
    </row>
    <row r="251" ht="15.75" customHeight="1">
      <c r="D251" s="28"/>
      <c r="E251" s="29"/>
      <c r="G251" s="30"/>
    </row>
    <row r="252" ht="15.75" customHeight="1">
      <c r="D252" s="28"/>
      <c r="E252" s="29"/>
      <c r="G252" s="30"/>
    </row>
    <row r="253" ht="15.75" customHeight="1">
      <c r="D253" s="28"/>
      <c r="E253" s="29"/>
      <c r="G253" s="30"/>
    </row>
    <row r="254" ht="15.75" customHeight="1">
      <c r="D254" s="28"/>
      <c r="E254" s="29"/>
      <c r="G254" s="30"/>
    </row>
    <row r="255" ht="15.75" customHeight="1">
      <c r="D255" s="28"/>
      <c r="E255" s="29"/>
      <c r="G255" s="30"/>
    </row>
    <row r="256" ht="15.75" customHeight="1">
      <c r="D256" s="28"/>
      <c r="E256" s="29"/>
      <c r="G256" s="30"/>
    </row>
    <row r="257" ht="15.75" customHeight="1">
      <c r="D257" s="28"/>
      <c r="E257" s="29"/>
      <c r="G257" s="30"/>
    </row>
    <row r="258" ht="15.75" customHeight="1">
      <c r="D258" s="28"/>
      <c r="E258" s="29"/>
      <c r="G258" s="30"/>
    </row>
    <row r="259" ht="15.75" customHeight="1">
      <c r="D259" s="28"/>
      <c r="E259" s="29"/>
      <c r="G259" s="30"/>
    </row>
    <row r="260" ht="15.75" customHeight="1">
      <c r="D260" s="28"/>
      <c r="E260" s="29"/>
      <c r="G260" s="30"/>
    </row>
    <row r="261" ht="15.75" customHeight="1">
      <c r="D261" s="28"/>
      <c r="E261" s="29"/>
      <c r="G261" s="30"/>
    </row>
    <row r="262" ht="15.75" customHeight="1">
      <c r="D262" s="28"/>
      <c r="E262" s="29"/>
      <c r="G262" s="30"/>
    </row>
    <row r="263" ht="15.75" customHeight="1">
      <c r="D263" s="28"/>
      <c r="E263" s="29"/>
      <c r="G263" s="30"/>
    </row>
    <row r="264" ht="15.75" customHeight="1">
      <c r="D264" s="28"/>
      <c r="E264" s="29"/>
      <c r="G264" s="30"/>
    </row>
    <row r="265" ht="15.75" customHeight="1">
      <c r="D265" s="28"/>
      <c r="E265" s="29"/>
      <c r="G265" s="30"/>
    </row>
    <row r="266" ht="15.75" customHeight="1">
      <c r="D266" s="28"/>
      <c r="E266" s="29"/>
      <c r="G266" s="30"/>
    </row>
    <row r="267" ht="15.75" customHeight="1">
      <c r="D267" s="28"/>
      <c r="E267" s="29"/>
      <c r="G267" s="30"/>
    </row>
    <row r="268" ht="15.75" customHeight="1">
      <c r="D268" s="28"/>
      <c r="E268" s="29"/>
      <c r="G268" s="30"/>
    </row>
    <row r="269" ht="15.75" customHeight="1">
      <c r="D269" s="28"/>
      <c r="E269" s="29"/>
      <c r="G269" s="30"/>
    </row>
    <row r="270" ht="15.75" customHeight="1">
      <c r="D270" s="28"/>
      <c r="E270" s="29"/>
      <c r="G270" s="30"/>
    </row>
    <row r="271" ht="15.75" customHeight="1">
      <c r="D271" s="28"/>
      <c r="E271" s="29"/>
      <c r="G271" s="30"/>
    </row>
    <row r="272" ht="15.75" customHeight="1">
      <c r="D272" s="28"/>
      <c r="E272" s="29"/>
      <c r="G272" s="30"/>
    </row>
    <row r="273" ht="15.75" customHeight="1">
      <c r="D273" s="28"/>
      <c r="E273" s="29"/>
      <c r="G273" s="30"/>
    </row>
    <row r="274" ht="15.75" customHeight="1">
      <c r="D274" s="28"/>
      <c r="E274" s="29"/>
      <c r="G274" s="30"/>
    </row>
    <row r="275" ht="15.75" customHeight="1">
      <c r="D275" s="28"/>
      <c r="E275" s="29"/>
      <c r="G275" s="30"/>
    </row>
    <row r="276" ht="15.75" customHeight="1">
      <c r="D276" s="28"/>
      <c r="E276" s="29"/>
      <c r="G276" s="30"/>
    </row>
    <row r="277" ht="15.75" customHeight="1">
      <c r="D277" s="28"/>
      <c r="E277" s="29"/>
      <c r="G277" s="30"/>
    </row>
    <row r="278" ht="15.75" customHeight="1">
      <c r="D278" s="28"/>
      <c r="E278" s="29"/>
      <c r="G278" s="30"/>
    </row>
    <row r="279" ht="15.75" customHeight="1">
      <c r="D279" s="28"/>
      <c r="E279" s="29"/>
      <c r="G279" s="30"/>
    </row>
    <row r="280" ht="15.75" customHeight="1">
      <c r="D280" s="28"/>
      <c r="E280" s="29"/>
      <c r="G280" s="30"/>
    </row>
    <row r="281" ht="15.75" customHeight="1">
      <c r="D281" s="28"/>
      <c r="E281" s="29"/>
      <c r="G281" s="30"/>
    </row>
    <row r="282" ht="15.75" customHeight="1">
      <c r="D282" s="28"/>
      <c r="E282" s="29"/>
      <c r="G282" s="30"/>
    </row>
    <row r="283" ht="15.75" customHeight="1">
      <c r="D283" s="28"/>
      <c r="E283" s="29"/>
      <c r="G283" s="30"/>
    </row>
    <row r="284" ht="15.75" customHeight="1">
      <c r="D284" s="28"/>
      <c r="E284" s="29"/>
      <c r="G284" s="30"/>
    </row>
    <row r="285" ht="15.75" customHeight="1">
      <c r="D285" s="28"/>
      <c r="E285" s="29"/>
      <c r="G285" s="30"/>
    </row>
    <row r="286" ht="15.75" customHeight="1">
      <c r="D286" s="28"/>
      <c r="E286" s="29"/>
      <c r="G286" s="30"/>
    </row>
    <row r="287" ht="15.75" customHeight="1">
      <c r="D287" s="28"/>
      <c r="E287" s="29"/>
      <c r="G287" s="30"/>
    </row>
    <row r="288" ht="15.75" customHeight="1">
      <c r="D288" s="28"/>
      <c r="E288" s="29"/>
      <c r="G288" s="30"/>
    </row>
    <row r="289" ht="15.75" customHeight="1">
      <c r="D289" s="28"/>
      <c r="E289" s="29"/>
      <c r="G289" s="30"/>
    </row>
    <row r="290" ht="15.75" customHeight="1">
      <c r="D290" s="28"/>
      <c r="E290" s="29"/>
      <c r="G290" s="30"/>
    </row>
    <row r="291" ht="15.75" customHeight="1">
      <c r="D291" s="28"/>
      <c r="E291" s="29"/>
      <c r="G291" s="30"/>
    </row>
    <row r="292" ht="15.75" customHeight="1">
      <c r="D292" s="28"/>
      <c r="E292" s="29"/>
      <c r="G292" s="30"/>
    </row>
    <row r="293" ht="15.75" customHeight="1">
      <c r="D293" s="28"/>
      <c r="E293" s="29"/>
      <c r="G293" s="30"/>
    </row>
    <row r="294" ht="15.75" customHeight="1">
      <c r="D294" s="28"/>
      <c r="E294" s="29"/>
      <c r="G294" s="30"/>
    </row>
    <row r="295" ht="15.75" customHeight="1">
      <c r="D295" s="28"/>
      <c r="E295" s="29"/>
      <c r="G295" s="30"/>
    </row>
    <row r="296" ht="15.75" customHeight="1">
      <c r="D296" s="28"/>
      <c r="E296" s="29"/>
      <c r="G296" s="30"/>
    </row>
    <row r="297" ht="15.75" customHeight="1">
      <c r="D297" s="28"/>
      <c r="E297" s="29"/>
      <c r="G297" s="30"/>
    </row>
    <row r="298" ht="15.75" customHeight="1">
      <c r="D298" s="28"/>
      <c r="E298" s="29"/>
      <c r="G298" s="30"/>
    </row>
    <row r="299" ht="15.75" customHeight="1">
      <c r="D299" s="28"/>
      <c r="E299" s="29"/>
      <c r="G299" s="30"/>
    </row>
    <row r="300" ht="15.75" customHeight="1">
      <c r="D300" s="28"/>
      <c r="E300" s="29"/>
      <c r="G300" s="30"/>
    </row>
    <row r="301" ht="15.75" customHeight="1">
      <c r="D301" s="28"/>
      <c r="E301" s="29"/>
      <c r="G301" s="30"/>
    </row>
    <row r="302" ht="15.75" customHeight="1">
      <c r="D302" s="28"/>
      <c r="E302" s="29"/>
      <c r="G302" s="30"/>
    </row>
    <row r="303" ht="15.75" customHeight="1">
      <c r="D303" s="28"/>
      <c r="E303" s="29"/>
      <c r="G303" s="30"/>
    </row>
    <row r="304" ht="15.75" customHeight="1">
      <c r="D304" s="28"/>
      <c r="E304" s="29"/>
      <c r="G304" s="30"/>
    </row>
    <row r="305" ht="15.75" customHeight="1">
      <c r="D305" s="28"/>
      <c r="E305" s="29"/>
      <c r="G305" s="30"/>
    </row>
    <row r="306" ht="15.75" customHeight="1">
      <c r="D306" s="28"/>
      <c r="E306" s="29"/>
      <c r="G306" s="30"/>
    </row>
    <row r="307" ht="15.75" customHeight="1">
      <c r="D307" s="28"/>
      <c r="E307" s="29"/>
      <c r="G307" s="30"/>
    </row>
    <row r="308" ht="15.75" customHeight="1">
      <c r="D308" s="28"/>
      <c r="E308" s="29"/>
      <c r="G308" s="30"/>
    </row>
    <row r="309" ht="15.75" customHeight="1">
      <c r="D309" s="28"/>
      <c r="E309" s="29"/>
      <c r="G309" s="30"/>
    </row>
    <row r="310" ht="15.75" customHeight="1">
      <c r="D310" s="28"/>
      <c r="E310" s="29"/>
      <c r="G310" s="30"/>
    </row>
    <row r="311" ht="15.75" customHeight="1">
      <c r="D311" s="28"/>
      <c r="E311" s="29"/>
      <c r="G311" s="30"/>
    </row>
    <row r="312" ht="15.75" customHeight="1">
      <c r="D312" s="28"/>
      <c r="E312" s="29"/>
      <c r="G312" s="30"/>
    </row>
    <row r="313" ht="15.75" customHeight="1">
      <c r="D313" s="28"/>
      <c r="E313" s="29"/>
      <c r="G313" s="30"/>
    </row>
    <row r="314" ht="15.75" customHeight="1">
      <c r="D314" s="28"/>
      <c r="E314" s="29"/>
      <c r="G314" s="30"/>
    </row>
    <row r="315" ht="15.75" customHeight="1">
      <c r="D315" s="28"/>
      <c r="E315" s="29"/>
      <c r="G315" s="30"/>
    </row>
    <row r="316" ht="15.75" customHeight="1">
      <c r="D316" s="28"/>
      <c r="E316" s="29"/>
      <c r="G316" s="30"/>
    </row>
    <row r="317" ht="15.75" customHeight="1">
      <c r="D317" s="28"/>
      <c r="E317" s="29"/>
      <c r="G317" s="30"/>
    </row>
    <row r="318" ht="15.75" customHeight="1">
      <c r="D318" s="28"/>
      <c r="E318" s="29"/>
      <c r="G318" s="30"/>
    </row>
    <row r="319" ht="15.75" customHeight="1">
      <c r="D319" s="28"/>
      <c r="E319" s="29"/>
      <c r="G319" s="30"/>
    </row>
    <row r="320" ht="15.75" customHeight="1">
      <c r="D320" s="28"/>
      <c r="E320" s="29"/>
      <c r="G320" s="30"/>
    </row>
    <row r="321" ht="15.75" customHeight="1">
      <c r="D321" s="28"/>
      <c r="E321" s="29"/>
      <c r="G321" s="30"/>
    </row>
    <row r="322" ht="15.75" customHeight="1">
      <c r="D322" s="28"/>
      <c r="E322" s="29"/>
      <c r="G322" s="30"/>
    </row>
    <row r="323" ht="15.75" customHeight="1">
      <c r="D323" s="28"/>
      <c r="E323" s="29"/>
      <c r="G323" s="30"/>
    </row>
    <row r="324" ht="15.75" customHeight="1">
      <c r="D324" s="28"/>
      <c r="E324" s="29"/>
      <c r="G324" s="30"/>
    </row>
    <row r="325" ht="15.75" customHeight="1">
      <c r="D325" s="28"/>
      <c r="E325" s="29"/>
      <c r="G325" s="30"/>
    </row>
    <row r="326" ht="15.75" customHeight="1">
      <c r="D326" s="28"/>
      <c r="E326" s="29"/>
      <c r="G326" s="30"/>
    </row>
    <row r="327" ht="15.75" customHeight="1">
      <c r="D327" s="28"/>
      <c r="E327" s="29"/>
      <c r="G327" s="30"/>
    </row>
    <row r="328" ht="15.75" customHeight="1">
      <c r="D328" s="28"/>
      <c r="E328" s="29"/>
      <c r="G328" s="30"/>
    </row>
    <row r="329" ht="15.75" customHeight="1">
      <c r="D329" s="28"/>
      <c r="E329" s="29"/>
      <c r="G329" s="30"/>
    </row>
    <row r="330" ht="15.75" customHeight="1">
      <c r="D330" s="28"/>
      <c r="E330" s="29"/>
      <c r="G330" s="30"/>
    </row>
    <row r="331" ht="15.75" customHeight="1">
      <c r="D331" s="28"/>
      <c r="E331" s="29"/>
      <c r="G331" s="30"/>
    </row>
    <row r="332" ht="15.75" customHeight="1">
      <c r="D332" s="28"/>
      <c r="E332" s="29"/>
      <c r="G332" s="30"/>
    </row>
    <row r="333" ht="15.75" customHeight="1">
      <c r="D333" s="28"/>
      <c r="E333" s="29"/>
      <c r="G333" s="30"/>
    </row>
    <row r="334" ht="15.75" customHeight="1">
      <c r="D334" s="28"/>
      <c r="E334" s="29"/>
      <c r="G334" s="30"/>
    </row>
    <row r="335" ht="15.75" customHeight="1">
      <c r="D335" s="28"/>
      <c r="E335" s="29"/>
      <c r="G335" s="30"/>
    </row>
    <row r="336" ht="15.75" customHeight="1">
      <c r="D336" s="28"/>
      <c r="E336" s="29"/>
      <c r="G336" s="30"/>
    </row>
    <row r="337" ht="15.75" customHeight="1">
      <c r="D337" s="28"/>
      <c r="E337" s="29"/>
      <c r="G337" s="30"/>
    </row>
    <row r="338" ht="15.75" customHeight="1">
      <c r="D338" s="28"/>
      <c r="E338" s="29"/>
      <c r="G338" s="30"/>
    </row>
    <row r="339" ht="15.75" customHeight="1">
      <c r="D339" s="28"/>
      <c r="E339" s="29"/>
      <c r="G339" s="30"/>
    </row>
    <row r="340" ht="15.75" customHeight="1">
      <c r="D340" s="28"/>
      <c r="E340" s="29"/>
      <c r="G340" s="30"/>
    </row>
    <row r="341" ht="15.75" customHeight="1">
      <c r="D341" s="28"/>
      <c r="E341" s="29"/>
      <c r="G341" s="30"/>
    </row>
    <row r="342" ht="15.75" customHeight="1">
      <c r="D342" s="28"/>
      <c r="E342" s="29"/>
      <c r="G342" s="30"/>
    </row>
    <row r="343" ht="15.75" customHeight="1">
      <c r="D343" s="28"/>
      <c r="E343" s="29"/>
      <c r="G343" s="30"/>
    </row>
    <row r="344" ht="15.75" customHeight="1">
      <c r="D344" s="28"/>
      <c r="E344" s="29"/>
      <c r="G344" s="30"/>
    </row>
    <row r="345" ht="15.75" customHeight="1">
      <c r="D345" s="28"/>
      <c r="E345" s="29"/>
      <c r="G345" s="30"/>
    </row>
    <row r="346" ht="15.75" customHeight="1">
      <c r="D346" s="28"/>
      <c r="E346" s="29"/>
      <c r="G346" s="30"/>
    </row>
    <row r="347" ht="15.75" customHeight="1">
      <c r="D347" s="28"/>
      <c r="E347" s="29"/>
      <c r="G347" s="30"/>
    </row>
    <row r="348" ht="15.75" customHeight="1">
      <c r="D348" s="28"/>
      <c r="E348" s="29"/>
      <c r="G348" s="30"/>
    </row>
    <row r="349" ht="15.75" customHeight="1">
      <c r="D349" s="28"/>
      <c r="E349" s="29"/>
      <c r="G349" s="30"/>
    </row>
    <row r="350" ht="15.75" customHeight="1">
      <c r="D350" s="28"/>
      <c r="E350" s="29"/>
      <c r="G350" s="30"/>
    </row>
    <row r="351" ht="15.75" customHeight="1">
      <c r="D351" s="28"/>
      <c r="E351" s="29"/>
      <c r="G351" s="30"/>
    </row>
    <row r="352" ht="15.75" customHeight="1">
      <c r="D352" s="28"/>
      <c r="E352" s="29"/>
      <c r="G352" s="30"/>
    </row>
    <row r="353" ht="15.75" customHeight="1">
      <c r="D353" s="28"/>
      <c r="E353" s="29"/>
      <c r="G353" s="30"/>
    </row>
    <row r="354" ht="15.75" customHeight="1">
      <c r="D354" s="28"/>
      <c r="E354" s="29"/>
      <c r="G354" s="30"/>
    </row>
    <row r="355" ht="15.75" customHeight="1">
      <c r="D355" s="28"/>
      <c r="E355" s="29"/>
      <c r="G355" s="30"/>
    </row>
    <row r="356" ht="15.75" customHeight="1">
      <c r="D356" s="28"/>
      <c r="E356" s="29"/>
      <c r="G356" s="30"/>
    </row>
    <row r="357" ht="15.75" customHeight="1">
      <c r="D357" s="28"/>
      <c r="E357" s="29"/>
      <c r="G357" s="30"/>
    </row>
    <row r="358" ht="15.75" customHeight="1">
      <c r="D358" s="28"/>
      <c r="E358" s="29"/>
      <c r="G358" s="30"/>
    </row>
    <row r="359" ht="15.75" customHeight="1">
      <c r="D359" s="28"/>
      <c r="E359" s="29"/>
      <c r="G359" s="30"/>
    </row>
    <row r="360" ht="15.75" customHeight="1">
      <c r="D360" s="28"/>
      <c r="E360" s="29"/>
      <c r="G360" s="30"/>
    </row>
    <row r="361" ht="15.75" customHeight="1">
      <c r="D361" s="28"/>
      <c r="E361" s="29"/>
      <c r="G361" s="30"/>
    </row>
    <row r="362" ht="15.75" customHeight="1">
      <c r="D362" s="28"/>
      <c r="E362" s="29"/>
      <c r="G362" s="30"/>
    </row>
    <row r="363" ht="15.75" customHeight="1">
      <c r="D363" s="28"/>
      <c r="E363" s="29"/>
      <c r="G363" s="30"/>
    </row>
    <row r="364" ht="15.75" customHeight="1">
      <c r="D364" s="28"/>
      <c r="E364" s="29"/>
      <c r="G364" s="30"/>
    </row>
    <row r="365" ht="15.75" customHeight="1">
      <c r="D365" s="28"/>
      <c r="E365" s="29"/>
      <c r="G365" s="30"/>
    </row>
    <row r="366" ht="15.75" customHeight="1">
      <c r="D366" s="28"/>
      <c r="E366" s="29"/>
      <c r="G366" s="30"/>
    </row>
    <row r="367" ht="15.75" customHeight="1">
      <c r="D367" s="28"/>
      <c r="E367" s="29"/>
      <c r="G367" s="30"/>
    </row>
    <row r="368" ht="15.75" customHeight="1">
      <c r="D368" s="28"/>
      <c r="E368" s="29"/>
      <c r="G368" s="30"/>
    </row>
    <row r="369" ht="15.75" customHeight="1">
      <c r="D369" s="28"/>
      <c r="E369" s="29"/>
      <c r="G369" s="30"/>
    </row>
    <row r="370" ht="15.75" customHeight="1">
      <c r="D370" s="28"/>
      <c r="E370" s="29"/>
      <c r="G370" s="30"/>
    </row>
    <row r="371" ht="15.75" customHeight="1">
      <c r="D371" s="28"/>
      <c r="E371" s="29"/>
      <c r="G371" s="30"/>
    </row>
    <row r="372" ht="15.75" customHeight="1">
      <c r="D372" s="28"/>
      <c r="E372" s="29"/>
      <c r="G372" s="30"/>
    </row>
    <row r="373" ht="15.75" customHeight="1">
      <c r="D373" s="28"/>
      <c r="E373" s="29"/>
      <c r="G373" s="30"/>
    </row>
    <row r="374" ht="15.75" customHeight="1">
      <c r="D374" s="28"/>
      <c r="E374" s="29"/>
      <c r="G374" s="30"/>
    </row>
    <row r="375" ht="15.75" customHeight="1">
      <c r="D375" s="28"/>
      <c r="E375" s="29"/>
      <c r="G375" s="30"/>
    </row>
    <row r="376" ht="15.75" customHeight="1">
      <c r="D376" s="28"/>
      <c r="E376" s="29"/>
      <c r="G376" s="30"/>
    </row>
    <row r="377" ht="15.75" customHeight="1">
      <c r="D377" s="28"/>
      <c r="E377" s="29"/>
      <c r="G377" s="30"/>
    </row>
    <row r="378" ht="15.75" customHeight="1">
      <c r="D378" s="28"/>
      <c r="E378" s="29"/>
      <c r="G378" s="30"/>
    </row>
    <row r="379" ht="15.75" customHeight="1">
      <c r="D379" s="28"/>
      <c r="E379" s="29"/>
      <c r="G379" s="30"/>
    </row>
    <row r="380" ht="15.75" customHeight="1">
      <c r="D380" s="28"/>
      <c r="E380" s="29"/>
      <c r="G380" s="30"/>
    </row>
    <row r="381" ht="15.75" customHeight="1">
      <c r="D381" s="28"/>
      <c r="E381" s="29"/>
      <c r="G381" s="30"/>
    </row>
    <row r="382" ht="15.75" customHeight="1">
      <c r="D382" s="28"/>
      <c r="E382" s="29"/>
      <c r="G382" s="30"/>
    </row>
    <row r="383" ht="15.75" customHeight="1">
      <c r="D383" s="28"/>
      <c r="E383" s="29"/>
      <c r="G383" s="30"/>
    </row>
    <row r="384" ht="15.75" customHeight="1">
      <c r="D384" s="28"/>
      <c r="E384" s="29"/>
      <c r="G384" s="30"/>
    </row>
    <row r="385" ht="15.75" customHeight="1">
      <c r="D385" s="28"/>
      <c r="E385" s="29"/>
      <c r="G385" s="30"/>
    </row>
    <row r="386" ht="15.75" customHeight="1">
      <c r="D386" s="28"/>
      <c r="E386" s="29"/>
      <c r="G386" s="30"/>
    </row>
    <row r="387" ht="15.75" customHeight="1">
      <c r="D387" s="28"/>
      <c r="E387" s="29"/>
      <c r="G387" s="30"/>
    </row>
    <row r="388" ht="15.75" customHeight="1">
      <c r="D388" s="28"/>
      <c r="E388" s="29"/>
      <c r="G388" s="30"/>
    </row>
    <row r="389" ht="15.75" customHeight="1">
      <c r="D389" s="28"/>
      <c r="E389" s="29"/>
      <c r="G389" s="30"/>
    </row>
    <row r="390" ht="15.75" customHeight="1">
      <c r="D390" s="28"/>
      <c r="E390" s="29"/>
      <c r="G390" s="30"/>
    </row>
    <row r="391" ht="15.75" customHeight="1">
      <c r="D391" s="28"/>
      <c r="E391" s="29"/>
      <c r="G391" s="30"/>
    </row>
    <row r="392" ht="15.75" customHeight="1">
      <c r="D392" s="28"/>
      <c r="E392" s="29"/>
      <c r="G392" s="30"/>
    </row>
    <row r="393" ht="15.75" customHeight="1">
      <c r="D393" s="28"/>
      <c r="E393" s="29"/>
      <c r="G393" s="30"/>
    </row>
    <row r="394" ht="15.75" customHeight="1">
      <c r="D394" s="28"/>
      <c r="E394" s="29"/>
      <c r="G394" s="30"/>
    </row>
    <row r="395" ht="15.75" customHeight="1">
      <c r="D395" s="28"/>
      <c r="E395" s="29"/>
      <c r="G395" s="30"/>
    </row>
    <row r="396" ht="15.75" customHeight="1">
      <c r="D396" s="28"/>
      <c r="E396" s="29"/>
      <c r="G396" s="30"/>
    </row>
    <row r="397" ht="15.75" customHeight="1">
      <c r="D397" s="28"/>
      <c r="E397" s="29"/>
      <c r="G397" s="30"/>
    </row>
    <row r="398" ht="15.75" customHeight="1">
      <c r="D398" s="28"/>
      <c r="E398" s="29"/>
      <c r="G398" s="30"/>
    </row>
    <row r="399" ht="15.75" customHeight="1">
      <c r="D399" s="28"/>
      <c r="E399" s="29"/>
      <c r="G399" s="30"/>
    </row>
    <row r="400" ht="15.75" customHeight="1">
      <c r="D400" s="28"/>
      <c r="E400" s="29"/>
      <c r="G400" s="30"/>
    </row>
    <row r="401" ht="15.75" customHeight="1">
      <c r="D401" s="28"/>
      <c r="E401" s="29"/>
      <c r="G401" s="30"/>
    </row>
    <row r="402" ht="15.75" customHeight="1">
      <c r="D402" s="28"/>
      <c r="E402" s="29"/>
      <c r="G402" s="30"/>
    </row>
    <row r="403" ht="15.75" customHeight="1">
      <c r="D403" s="28"/>
      <c r="E403" s="29"/>
      <c r="G403" s="30"/>
    </row>
    <row r="404" ht="15.75" customHeight="1">
      <c r="D404" s="28"/>
      <c r="E404" s="29"/>
      <c r="G404" s="30"/>
    </row>
    <row r="405" ht="15.75" customHeight="1">
      <c r="D405" s="28"/>
      <c r="E405" s="29"/>
      <c r="G405" s="30"/>
    </row>
    <row r="406" ht="15.75" customHeight="1">
      <c r="D406" s="28"/>
      <c r="E406" s="29"/>
      <c r="G406" s="30"/>
    </row>
    <row r="407" ht="15.75" customHeight="1">
      <c r="D407" s="28"/>
      <c r="E407" s="29"/>
      <c r="G407" s="30"/>
    </row>
    <row r="408" ht="15.75" customHeight="1">
      <c r="D408" s="28"/>
      <c r="E408" s="29"/>
      <c r="G408" s="30"/>
    </row>
    <row r="409" ht="15.75" customHeight="1">
      <c r="D409" s="28"/>
      <c r="E409" s="29"/>
      <c r="G409" s="30"/>
    </row>
    <row r="410" ht="15.75" customHeight="1">
      <c r="D410" s="28"/>
      <c r="E410" s="29"/>
      <c r="G410" s="30"/>
    </row>
    <row r="411" ht="15.75" customHeight="1">
      <c r="D411" s="28"/>
      <c r="E411" s="29"/>
      <c r="G411" s="30"/>
    </row>
    <row r="412" ht="15.75" customHeight="1">
      <c r="D412" s="28"/>
      <c r="E412" s="29"/>
      <c r="G412" s="30"/>
    </row>
    <row r="413" ht="15.75" customHeight="1">
      <c r="D413" s="28"/>
      <c r="E413" s="29"/>
      <c r="G413" s="30"/>
    </row>
    <row r="414" ht="15.75" customHeight="1">
      <c r="D414" s="28"/>
      <c r="E414" s="29"/>
      <c r="G414" s="30"/>
    </row>
    <row r="415" ht="15.75" customHeight="1">
      <c r="D415" s="28"/>
      <c r="E415" s="29"/>
      <c r="G415" s="30"/>
    </row>
    <row r="416" ht="15.75" customHeight="1">
      <c r="D416" s="28"/>
      <c r="E416" s="29"/>
      <c r="G416" s="30"/>
    </row>
    <row r="417" ht="15.75" customHeight="1">
      <c r="D417" s="28"/>
      <c r="E417" s="29"/>
      <c r="G417" s="30"/>
    </row>
    <row r="418" ht="15.75" customHeight="1">
      <c r="D418" s="28"/>
      <c r="E418" s="29"/>
      <c r="G418" s="30"/>
    </row>
    <row r="419" ht="15.75" customHeight="1">
      <c r="D419" s="28"/>
      <c r="E419" s="29"/>
      <c r="G419" s="30"/>
    </row>
    <row r="420" ht="15.75" customHeight="1">
      <c r="D420" s="28"/>
      <c r="E420" s="29"/>
      <c r="G420" s="30"/>
    </row>
    <row r="421" ht="15.75" customHeight="1">
      <c r="D421" s="28"/>
      <c r="E421" s="29"/>
      <c r="G421" s="30"/>
    </row>
    <row r="422" ht="15.75" customHeight="1">
      <c r="D422" s="28"/>
      <c r="E422" s="29"/>
      <c r="G422" s="30"/>
    </row>
    <row r="423" ht="15.75" customHeight="1">
      <c r="D423" s="28"/>
      <c r="E423" s="29"/>
      <c r="G423" s="30"/>
    </row>
    <row r="424" ht="15.75" customHeight="1">
      <c r="D424" s="28"/>
      <c r="E424" s="29"/>
      <c r="G424" s="30"/>
    </row>
    <row r="425" ht="15.75" customHeight="1">
      <c r="D425" s="28"/>
      <c r="E425" s="29"/>
      <c r="G425" s="30"/>
    </row>
    <row r="426" ht="15.75" customHeight="1">
      <c r="D426" s="28"/>
      <c r="E426" s="29"/>
      <c r="G426" s="30"/>
    </row>
    <row r="427" ht="15.75" customHeight="1">
      <c r="D427" s="28"/>
      <c r="E427" s="29"/>
      <c r="G427" s="30"/>
    </row>
    <row r="428" ht="15.75" customHeight="1">
      <c r="D428" s="28"/>
      <c r="E428" s="29"/>
      <c r="G428" s="30"/>
    </row>
    <row r="429" ht="15.75" customHeight="1">
      <c r="D429" s="28"/>
      <c r="E429" s="29"/>
      <c r="G429" s="30"/>
    </row>
    <row r="430" ht="15.75" customHeight="1">
      <c r="D430" s="28"/>
      <c r="E430" s="29"/>
      <c r="G430" s="30"/>
    </row>
    <row r="431" ht="15.75" customHeight="1">
      <c r="D431" s="28"/>
      <c r="E431" s="29"/>
      <c r="G431" s="30"/>
    </row>
    <row r="432" ht="15.75" customHeight="1">
      <c r="D432" s="28"/>
      <c r="E432" s="29"/>
      <c r="G432" s="30"/>
    </row>
    <row r="433" ht="15.75" customHeight="1">
      <c r="D433" s="28"/>
      <c r="E433" s="29"/>
      <c r="G433" s="30"/>
    </row>
    <row r="434" ht="15.75" customHeight="1">
      <c r="D434" s="28"/>
      <c r="E434" s="29"/>
      <c r="G434" s="30"/>
    </row>
    <row r="435" ht="15.75" customHeight="1">
      <c r="D435" s="28"/>
      <c r="E435" s="29"/>
      <c r="G435" s="30"/>
    </row>
    <row r="436" ht="15.75" customHeight="1">
      <c r="D436" s="28"/>
      <c r="E436" s="29"/>
      <c r="G436" s="30"/>
    </row>
    <row r="437" ht="15.75" customHeight="1">
      <c r="D437" s="28"/>
      <c r="E437" s="29"/>
      <c r="G437" s="30"/>
    </row>
    <row r="438" ht="15.75" customHeight="1">
      <c r="D438" s="28"/>
      <c r="E438" s="29"/>
      <c r="G438" s="30"/>
    </row>
    <row r="439" ht="15.75" customHeight="1">
      <c r="D439" s="28"/>
      <c r="E439" s="29"/>
      <c r="G439" s="30"/>
    </row>
    <row r="440" ht="15.75" customHeight="1">
      <c r="D440" s="28"/>
      <c r="E440" s="29"/>
      <c r="G440" s="30"/>
    </row>
    <row r="441" ht="15.75" customHeight="1">
      <c r="D441" s="28"/>
      <c r="E441" s="29"/>
      <c r="G441" s="30"/>
    </row>
    <row r="442" ht="15.75" customHeight="1">
      <c r="D442" s="28"/>
      <c r="E442" s="29"/>
      <c r="G442" s="30"/>
    </row>
    <row r="443" ht="15.75" customHeight="1">
      <c r="D443" s="28"/>
      <c r="E443" s="29"/>
      <c r="G443" s="30"/>
    </row>
    <row r="444" ht="15.75" customHeight="1">
      <c r="D444" s="28"/>
      <c r="E444" s="29"/>
      <c r="G444" s="30"/>
    </row>
    <row r="445" ht="15.75" customHeight="1">
      <c r="D445" s="28"/>
      <c r="E445" s="29"/>
      <c r="G445" s="30"/>
    </row>
    <row r="446" ht="15.75" customHeight="1">
      <c r="D446" s="28"/>
      <c r="E446" s="29"/>
      <c r="G446" s="30"/>
    </row>
    <row r="447" ht="15.75" customHeight="1">
      <c r="D447" s="28"/>
      <c r="E447" s="29"/>
      <c r="G447" s="30"/>
    </row>
    <row r="448" ht="15.75" customHeight="1">
      <c r="D448" s="28"/>
      <c r="E448" s="29"/>
      <c r="G448" s="30"/>
    </row>
    <row r="449" ht="15.75" customHeight="1">
      <c r="D449" s="28"/>
      <c r="E449" s="29"/>
      <c r="G449" s="30"/>
    </row>
    <row r="450" ht="15.75" customHeight="1">
      <c r="D450" s="28"/>
      <c r="E450" s="29"/>
      <c r="G450" s="30"/>
    </row>
    <row r="451" ht="15.75" customHeight="1">
      <c r="D451" s="28"/>
      <c r="E451" s="29"/>
      <c r="G451" s="30"/>
    </row>
    <row r="452" ht="15.75" customHeight="1">
      <c r="D452" s="28"/>
      <c r="E452" s="29"/>
      <c r="G452" s="30"/>
    </row>
    <row r="453" ht="15.75" customHeight="1">
      <c r="D453" s="28"/>
      <c r="E453" s="29"/>
      <c r="G453" s="30"/>
    </row>
    <row r="454" ht="15.75" customHeight="1">
      <c r="D454" s="28"/>
      <c r="E454" s="29"/>
      <c r="G454" s="30"/>
    </row>
    <row r="455" ht="15.75" customHeight="1">
      <c r="D455" s="28"/>
      <c r="E455" s="29"/>
      <c r="G455" s="30"/>
    </row>
    <row r="456" ht="15.75" customHeight="1">
      <c r="D456" s="28"/>
      <c r="E456" s="29"/>
      <c r="G456" s="30"/>
    </row>
    <row r="457" ht="15.75" customHeight="1">
      <c r="D457" s="28"/>
      <c r="E457" s="29"/>
      <c r="G457" s="30"/>
    </row>
    <row r="458" ht="15.75" customHeight="1">
      <c r="D458" s="28"/>
      <c r="E458" s="29"/>
      <c r="G458" s="30"/>
    </row>
    <row r="459" ht="15.75" customHeight="1">
      <c r="D459" s="28"/>
      <c r="E459" s="29"/>
      <c r="G459" s="30"/>
    </row>
    <row r="460" ht="15.75" customHeight="1">
      <c r="D460" s="28"/>
      <c r="E460" s="29"/>
      <c r="G460" s="30"/>
    </row>
    <row r="461" ht="15.75" customHeight="1">
      <c r="D461" s="28"/>
      <c r="E461" s="29"/>
      <c r="G461" s="30"/>
    </row>
    <row r="462" ht="15.75" customHeight="1">
      <c r="D462" s="28"/>
      <c r="E462" s="29"/>
      <c r="G462" s="30"/>
    </row>
    <row r="463" ht="15.75" customHeight="1">
      <c r="D463" s="28"/>
      <c r="E463" s="29"/>
      <c r="G463" s="30"/>
    </row>
    <row r="464" ht="15.75" customHeight="1">
      <c r="D464" s="28"/>
      <c r="E464" s="29"/>
      <c r="G464" s="30"/>
    </row>
    <row r="465" ht="15.75" customHeight="1">
      <c r="D465" s="28"/>
      <c r="E465" s="29"/>
      <c r="G465" s="30"/>
    </row>
    <row r="466" ht="15.75" customHeight="1">
      <c r="D466" s="28"/>
      <c r="E466" s="29"/>
      <c r="G466" s="30"/>
    </row>
    <row r="467" ht="15.75" customHeight="1">
      <c r="D467" s="28"/>
      <c r="E467" s="29"/>
      <c r="G467" s="30"/>
    </row>
    <row r="468" ht="15.75" customHeight="1">
      <c r="D468" s="28"/>
      <c r="E468" s="29"/>
      <c r="G468" s="30"/>
    </row>
    <row r="469" ht="15.75" customHeight="1">
      <c r="D469" s="28"/>
      <c r="E469" s="29"/>
      <c r="G469" s="30"/>
    </row>
    <row r="470" ht="15.75" customHeight="1">
      <c r="D470" s="28"/>
      <c r="E470" s="29"/>
      <c r="G470" s="30"/>
    </row>
    <row r="471" ht="15.75" customHeight="1">
      <c r="D471" s="28"/>
      <c r="E471" s="29"/>
      <c r="G471" s="30"/>
    </row>
    <row r="472" ht="15.75" customHeight="1">
      <c r="D472" s="28"/>
      <c r="E472" s="29"/>
      <c r="G472" s="30"/>
    </row>
    <row r="473" ht="15.75" customHeight="1">
      <c r="D473" s="28"/>
      <c r="E473" s="29"/>
      <c r="G473" s="30"/>
    </row>
    <row r="474" ht="15.75" customHeight="1">
      <c r="D474" s="28"/>
      <c r="E474" s="29"/>
      <c r="G474" s="30"/>
    </row>
    <row r="475" ht="15.75" customHeight="1">
      <c r="D475" s="28"/>
      <c r="E475" s="29"/>
      <c r="G475" s="30"/>
    </row>
    <row r="476" ht="15.75" customHeight="1">
      <c r="D476" s="28"/>
      <c r="E476" s="29"/>
      <c r="G476" s="30"/>
    </row>
    <row r="477" ht="15.75" customHeight="1">
      <c r="D477" s="28"/>
      <c r="E477" s="29"/>
      <c r="G477" s="30"/>
    </row>
    <row r="478" ht="15.75" customHeight="1">
      <c r="D478" s="28"/>
      <c r="E478" s="29"/>
      <c r="G478" s="30"/>
    </row>
    <row r="479" ht="15.75" customHeight="1">
      <c r="D479" s="28"/>
      <c r="E479" s="29"/>
      <c r="G479" s="30"/>
    </row>
    <row r="480" ht="15.75" customHeight="1">
      <c r="D480" s="28"/>
      <c r="E480" s="29"/>
      <c r="G480" s="30"/>
    </row>
    <row r="481" ht="15.75" customHeight="1">
      <c r="D481" s="28"/>
      <c r="E481" s="29"/>
      <c r="G481" s="30"/>
    </row>
    <row r="482" ht="15.75" customHeight="1">
      <c r="D482" s="28"/>
      <c r="E482" s="29"/>
      <c r="G482" s="30"/>
    </row>
    <row r="483" ht="15.75" customHeight="1">
      <c r="D483" s="28"/>
      <c r="E483" s="29"/>
      <c r="G483" s="30"/>
    </row>
    <row r="484" ht="15.75" customHeight="1">
      <c r="D484" s="28"/>
      <c r="E484" s="29"/>
      <c r="G484" s="30"/>
    </row>
    <row r="485" ht="15.75" customHeight="1">
      <c r="D485" s="28"/>
      <c r="E485" s="29"/>
      <c r="G485" s="30"/>
    </row>
    <row r="486" ht="15.75" customHeight="1">
      <c r="D486" s="28"/>
      <c r="E486" s="29"/>
      <c r="G486" s="30"/>
    </row>
    <row r="487" ht="15.75" customHeight="1">
      <c r="D487" s="28"/>
      <c r="E487" s="29"/>
      <c r="G487" s="30"/>
    </row>
    <row r="488" ht="15.75" customHeight="1">
      <c r="D488" s="28"/>
      <c r="E488" s="29"/>
      <c r="G488" s="30"/>
    </row>
    <row r="489" ht="15.75" customHeight="1">
      <c r="D489" s="28"/>
      <c r="E489" s="29"/>
      <c r="G489" s="30"/>
    </row>
    <row r="490" ht="15.75" customHeight="1">
      <c r="D490" s="28"/>
      <c r="E490" s="29"/>
      <c r="G490" s="30"/>
    </row>
    <row r="491" ht="15.75" customHeight="1">
      <c r="D491" s="28"/>
      <c r="E491" s="29"/>
      <c r="G491" s="30"/>
    </row>
    <row r="492" ht="15.75" customHeight="1">
      <c r="D492" s="28"/>
      <c r="E492" s="29"/>
      <c r="G492" s="30"/>
    </row>
    <row r="493" ht="15.75" customHeight="1">
      <c r="D493" s="28"/>
      <c r="E493" s="29"/>
      <c r="G493" s="30"/>
    </row>
    <row r="494" ht="15.75" customHeight="1">
      <c r="D494" s="28"/>
      <c r="E494" s="29"/>
      <c r="G494" s="30"/>
    </row>
    <row r="495" ht="15.75" customHeight="1">
      <c r="D495" s="28"/>
      <c r="E495" s="29"/>
      <c r="G495" s="30"/>
    </row>
    <row r="496" ht="15.75" customHeight="1">
      <c r="D496" s="28"/>
      <c r="E496" s="29"/>
      <c r="G496" s="30"/>
    </row>
    <row r="497" ht="15.75" customHeight="1">
      <c r="D497" s="28"/>
      <c r="E497" s="29"/>
      <c r="G497" s="30"/>
    </row>
    <row r="498" ht="15.75" customHeight="1">
      <c r="D498" s="28"/>
      <c r="E498" s="29"/>
      <c r="G498" s="30"/>
    </row>
    <row r="499" ht="15.75" customHeight="1">
      <c r="D499" s="28"/>
      <c r="E499" s="29"/>
      <c r="G499" s="30"/>
    </row>
    <row r="500" ht="15.75" customHeight="1">
      <c r="D500" s="28"/>
      <c r="E500" s="29"/>
      <c r="G500" s="30"/>
    </row>
    <row r="501" ht="15.75" customHeight="1">
      <c r="D501" s="28"/>
      <c r="E501" s="29"/>
      <c r="G501" s="30"/>
    </row>
    <row r="502" ht="15.75" customHeight="1">
      <c r="D502" s="28"/>
      <c r="E502" s="29"/>
      <c r="G502" s="30"/>
    </row>
    <row r="503" ht="15.75" customHeight="1">
      <c r="D503" s="28"/>
      <c r="E503" s="29"/>
      <c r="G503" s="30"/>
    </row>
    <row r="504" ht="15.75" customHeight="1">
      <c r="D504" s="28"/>
      <c r="E504" s="29"/>
      <c r="G504" s="30"/>
    </row>
    <row r="505" ht="15.75" customHeight="1">
      <c r="D505" s="28"/>
      <c r="E505" s="29"/>
      <c r="G505" s="30"/>
    </row>
    <row r="506" ht="15.75" customHeight="1">
      <c r="D506" s="28"/>
      <c r="E506" s="29"/>
      <c r="G506" s="30"/>
    </row>
    <row r="507" ht="15.75" customHeight="1">
      <c r="D507" s="28"/>
      <c r="E507" s="29"/>
      <c r="G507" s="30"/>
    </row>
    <row r="508" ht="15.75" customHeight="1">
      <c r="D508" s="28"/>
      <c r="E508" s="29"/>
      <c r="G508" s="30"/>
    </row>
    <row r="509" ht="15.75" customHeight="1">
      <c r="D509" s="28"/>
      <c r="E509" s="29"/>
      <c r="G509" s="30"/>
    </row>
    <row r="510" ht="15.75" customHeight="1">
      <c r="D510" s="28"/>
      <c r="E510" s="29"/>
      <c r="G510" s="30"/>
    </row>
    <row r="511" ht="15.75" customHeight="1">
      <c r="D511" s="28"/>
      <c r="E511" s="29"/>
      <c r="G511" s="30"/>
    </row>
    <row r="512" ht="15.75" customHeight="1">
      <c r="D512" s="28"/>
      <c r="E512" s="29"/>
      <c r="G512" s="30"/>
    </row>
    <row r="513" ht="15.75" customHeight="1">
      <c r="D513" s="28"/>
      <c r="E513" s="29"/>
      <c r="G513" s="30"/>
    </row>
    <row r="514" ht="15.75" customHeight="1">
      <c r="D514" s="28"/>
      <c r="E514" s="29"/>
      <c r="G514" s="30"/>
    </row>
    <row r="515" ht="15.75" customHeight="1">
      <c r="D515" s="28"/>
      <c r="E515" s="29"/>
      <c r="G515" s="30"/>
    </row>
    <row r="516" ht="15.75" customHeight="1">
      <c r="D516" s="28"/>
      <c r="E516" s="29"/>
      <c r="G516" s="30"/>
    </row>
    <row r="517" ht="15.75" customHeight="1">
      <c r="D517" s="28"/>
      <c r="E517" s="29"/>
      <c r="G517" s="30"/>
    </row>
    <row r="518" ht="15.75" customHeight="1">
      <c r="D518" s="28"/>
      <c r="E518" s="29"/>
      <c r="G518" s="30"/>
    </row>
    <row r="519" ht="15.75" customHeight="1">
      <c r="D519" s="28"/>
      <c r="E519" s="29"/>
      <c r="G519" s="30"/>
    </row>
    <row r="520" ht="15.75" customHeight="1">
      <c r="D520" s="28"/>
      <c r="E520" s="29"/>
      <c r="G520" s="30"/>
    </row>
    <row r="521" ht="15.75" customHeight="1">
      <c r="D521" s="28"/>
      <c r="E521" s="29"/>
      <c r="G521" s="30"/>
    </row>
    <row r="522" ht="15.75" customHeight="1">
      <c r="D522" s="28"/>
      <c r="E522" s="29"/>
      <c r="G522" s="30"/>
    </row>
    <row r="523" ht="15.75" customHeight="1">
      <c r="D523" s="28"/>
      <c r="E523" s="29"/>
      <c r="G523" s="30"/>
    </row>
    <row r="524" ht="15.75" customHeight="1">
      <c r="D524" s="28"/>
      <c r="E524" s="29"/>
      <c r="G524" s="30"/>
    </row>
    <row r="525" ht="15.75" customHeight="1">
      <c r="D525" s="28"/>
      <c r="E525" s="29"/>
      <c r="G525" s="30"/>
    </row>
    <row r="526" ht="15.75" customHeight="1">
      <c r="D526" s="28"/>
      <c r="E526" s="29"/>
      <c r="G526" s="30"/>
    </row>
    <row r="527" ht="15.75" customHeight="1">
      <c r="D527" s="28"/>
      <c r="E527" s="29"/>
      <c r="G527" s="30"/>
    </row>
    <row r="528" ht="15.75" customHeight="1">
      <c r="D528" s="28"/>
      <c r="E528" s="29"/>
      <c r="G528" s="30"/>
    </row>
    <row r="529" ht="15.75" customHeight="1">
      <c r="D529" s="28"/>
      <c r="E529" s="29"/>
      <c r="G529" s="30"/>
    </row>
    <row r="530" ht="15.75" customHeight="1">
      <c r="D530" s="28"/>
      <c r="E530" s="29"/>
      <c r="G530" s="30"/>
    </row>
    <row r="531" ht="15.75" customHeight="1">
      <c r="D531" s="28"/>
      <c r="E531" s="29"/>
      <c r="G531" s="30"/>
    </row>
    <row r="532" ht="15.75" customHeight="1">
      <c r="D532" s="28"/>
      <c r="E532" s="29"/>
      <c r="G532" s="30"/>
    </row>
    <row r="533" ht="15.75" customHeight="1">
      <c r="D533" s="28"/>
      <c r="E533" s="29"/>
      <c r="G533" s="30"/>
    </row>
    <row r="534" ht="15.75" customHeight="1">
      <c r="D534" s="28"/>
      <c r="E534" s="29"/>
      <c r="G534" s="30"/>
    </row>
    <row r="535" ht="15.75" customHeight="1">
      <c r="D535" s="28"/>
      <c r="E535" s="29"/>
      <c r="G535" s="30"/>
    </row>
    <row r="536" ht="15.75" customHeight="1">
      <c r="D536" s="28"/>
      <c r="E536" s="29"/>
      <c r="G536" s="30"/>
    </row>
    <row r="537" ht="15.75" customHeight="1">
      <c r="D537" s="28"/>
      <c r="E537" s="29"/>
      <c r="G537" s="30"/>
    </row>
    <row r="538" ht="15.75" customHeight="1">
      <c r="D538" s="28"/>
      <c r="E538" s="29"/>
      <c r="G538" s="30"/>
    </row>
    <row r="539" ht="15.75" customHeight="1">
      <c r="D539" s="28"/>
      <c r="E539" s="29"/>
      <c r="G539" s="30"/>
    </row>
    <row r="540" ht="15.75" customHeight="1">
      <c r="D540" s="28"/>
      <c r="E540" s="29"/>
      <c r="G540" s="30"/>
    </row>
    <row r="541" ht="15.75" customHeight="1">
      <c r="D541" s="28"/>
      <c r="E541" s="29"/>
      <c r="G541" s="30"/>
    </row>
    <row r="542" ht="15.75" customHeight="1">
      <c r="D542" s="28"/>
      <c r="E542" s="29"/>
      <c r="G542" s="30"/>
    </row>
    <row r="543" ht="15.75" customHeight="1">
      <c r="D543" s="28"/>
      <c r="E543" s="29"/>
      <c r="G543" s="30"/>
    </row>
    <row r="544" ht="15.75" customHeight="1">
      <c r="D544" s="28"/>
      <c r="E544" s="29"/>
      <c r="G544" s="30"/>
    </row>
    <row r="545" ht="15.75" customHeight="1">
      <c r="D545" s="28"/>
      <c r="E545" s="29"/>
      <c r="G545" s="30"/>
    </row>
    <row r="546" ht="15.75" customHeight="1">
      <c r="D546" s="28"/>
      <c r="E546" s="29"/>
      <c r="G546" s="30"/>
    </row>
    <row r="547" ht="15.75" customHeight="1">
      <c r="D547" s="28"/>
      <c r="E547" s="29"/>
      <c r="G547" s="30"/>
    </row>
    <row r="548" ht="15.75" customHeight="1">
      <c r="D548" s="28"/>
      <c r="E548" s="29"/>
      <c r="G548" s="30"/>
    </row>
    <row r="549" ht="15.75" customHeight="1">
      <c r="D549" s="28"/>
      <c r="E549" s="29"/>
      <c r="G549" s="30"/>
    </row>
    <row r="550" ht="15.75" customHeight="1">
      <c r="D550" s="28"/>
      <c r="E550" s="29"/>
      <c r="G550" s="30"/>
    </row>
    <row r="551" ht="15.75" customHeight="1">
      <c r="D551" s="28"/>
      <c r="E551" s="29"/>
      <c r="G551" s="30"/>
    </row>
    <row r="552" ht="15.75" customHeight="1">
      <c r="D552" s="28"/>
      <c r="E552" s="29"/>
      <c r="G552" s="30"/>
    </row>
    <row r="553" ht="15.75" customHeight="1">
      <c r="D553" s="28"/>
      <c r="E553" s="29"/>
      <c r="G553" s="30"/>
    </row>
    <row r="554" ht="15.75" customHeight="1">
      <c r="D554" s="28"/>
      <c r="E554" s="29"/>
      <c r="G554" s="30"/>
    </row>
    <row r="555" ht="15.75" customHeight="1">
      <c r="D555" s="28"/>
      <c r="E555" s="29"/>
      <c r="G555" s="30"/>
    </row>
    <row r="556" ht="15.75" customHeight="1">
      <c r="D556" s="28"/>
      <c r="E556" s="29"/>
      <c r="G556" s="30"/>
    </row>
    <row r="557" ht="15.75" customHeight="1">
      <c r="D557" s="28"/>
      <c r="E557" s="29"/>
      <c r="G557" s="30"/>
    </row>
    <row r="558" ht="15.75" customHeight="1">
      <c r="D558" s="28"/>
      <c r="E558" s="29"/>
      <c r="G558" s="30"/>
    </row>
    <row r="559" ht="15.75" customHeight="1">
      <c r="D559" s="28"/>
      <c r="E559" s="29"/>
      <c r="G559" s="30"/>
    </row>
    <row r="560" ht="15.75" customHeight="1">
      <c r="D560" s="28"/>
      <c r="E560" s="29"/>
      <c r="G560" s="30"/>
    </row>
    <row r="561" ht="15.75" customHeight="1">
      <c r="D561" s="28"/>
      <c r="E561" s="29"/>
      <c r="G561" s="30"/>
    </row>
    <row r="562" ht="15.75" customHeight="1">
      <c r="D562" s="28"/>
      <c r="E562" s="29"/>
      <c r="G562" s="30"/>
    </row>
    <row r="563" ht="15.75" customHeight="1">
      <c r="D563" s="28"/>
      <c r="E563" s="29"/>
      <c r="G563" s="30"/>
    </row>
    <row r="564" ht="15.75" customHeight="1">
      <c r="D564" s="28"/>
      <c r="E564" s="29"/>
      <c r="G564" s="30"/>
    </row>
    <row r="565" ht="15.75" customHeight="1">
      <c r="D565" s="28"/>
      <c r="E565" s="29"/>
      <c r="G565" s="30"/>
    </row>
    <row r="566" ht="15.75" customHeight="1">
      <c r="D566" s="28"/>
      <c r="E566" s="29"/>
      <c r="G566" s="30"/>
    </row>
    <row r="567" ht="15.75" customHeight="1">
      <c r="D567" s="28"/>
      <c r="E567" s="29"/>
      <c r="G567" s="30"/>
    </row>
    <row r="568" ht="15.75" customHeight="1">
      <c r="D568" s="28"/>
      <c r="E568" s="29"/>
      <c r="G568" s="30"/>
    </row>
    <row r="569" ht="15.75" customHeight="1">
      <c r="D569" s="28"/>
      <c r="E569" s="29"/>
      <c r="G569" s="30"/>
    </row>
    <row r="570" ht="15.75" customHeight="1">
      <c r="D570" s="28"/>
      <c r="E570" s="29"/>
      <c r="G570" s="30"/>
    </row>
    <row r="571" ht="15.75" customHeight="1">
      <c r="D571" s="28"/>
      <c r="E571" s="29"/>
      <c r="G571" s="30"/>
    </row>
    <row r="572" ht="15.75" customHeight="1">
      <c r="D572" s="28"/>
      <c r="E572" s="29"/>
      <c r="G572" s="30"/>
    </row>
    <row r="573" ht="15.75" customHeight="1">
      <c r="D573" s="28"/>
      <c r="E573" s="29"/>
      <c r="G573" s="30"/>
    </row>
    <row r="574" ht="15.75" customHeight="1">
      <c r="D574" s="28"/>
      <c r="E574" s="29"/>
      <c r="G574" s="30"/>
    </row>
    <row r="575" ht="15.75" customHeight="1">
      <c r="D575" s="28"/>
      <c r="E575" s="29"/>
      <c r="G575" s="30"/>
    </row>
    <row r="576" ht="15.75" customHeight="1">
      <c r="D576" s="28"/>
      <c r="E576" s="29"/>
      <c r="G576" s="30"/>
    </row>
    <row r="577" ht="15.75" customHeight="1">
      <c r="D577" s="28"/>
      <c r="E577" s="29"/>
      <c r="G577" s="30"/>
    </row>
    <row r="578" ht="15.75" customHeight="1">
      <c r="D578" s="28"/>
      <c r="E578" s="29"/>
      <c r="G578" s="30"/>
    </row>
    <row r="579" ht="15.75" customHeight="1">
      <c r="D579" s="28"/>
      <c r="E579" s="29"/>
      <c r="G579" s="30"/>
    </row>
    <row r="580" ht="15.75" customHeight="1">
      <c r="D580" s="28"/>
      <c r="E580" s="29"/>
      <c r="G580" s="30"/>
    </row>
    <row r="581" ht="15.75" customHeight="1">
      <c r="D581" s="28"/>
      <c r="E581" s="29"/>
      <c r="G581" s="30"/>
    </row>
    <row r="582" ht="15.75" customHeight="1">
      <c r="D582" s="28"/>
      <c r="E582" s="29"/>
      <c r="G582" s="30"/>
    </row>
    <row r="583" ht="15.75" customHeight="1">
      <c r="D583" s="28"/>
      <c r="E583" s="29"/>
      <c r="G583" s="30"/>
    </row>
    <row r="584" ht="15.75" customHeight="1">
      <c r="D584" s="28"/>
      <c r="E584" s="29"/>
      <c r="G584" s="30"/>
    </row>
    <row r="585" ht="15.75" customHeight="1">
      <c r="D585" s="28"/>
      <c r="E585" s="29"/>
      <c r="G585" s="30"/>
    </row>
    <row r="586" ht="15.75" customHeight="1">
      <c r="D586" s="28"/>
      <c r="E586" s="29"/>
      <c r="G586" s="30"/>
    </row>
    <row r="587" ht="15.75" customHeight="1">
      <c r="D587" s="28"/>
      <c r="E587" s="29"/>
      <c r="G587" s="30"/>
    </row>
    <row r="588" ht="15.75" customHeight="1">
      <c r="D588" s="28"/>
      <c r="E588" s="29"/>
      <c r="G588" s="30"/>
    </row>
    <row r="589" ht="15.75" customHeight="1">
      <c r="D589" s="28"/>
      <c r="E589" s="29"/>
      <c r="G589" s="30"/>
    </row>
    <row r="590" ht="15.75" customHeight="1">
      <c r="D590" s="28"/>
      <c r="E590" s="29"/>
      <c r="G590" s="30"/>
    </row>
    <row r="591" ht="15.75" customHeight="1">
      <c r="D591" s="28"/>
      <c r="E591" s="29"/>
      <c r="G591" s="30"/>
    </row>
    <row r="592" ht="15.75" customHeight="1">
      <c r="D592" s="28"/>
      <c r="E592" s="29"/>
      <c r="G592" s="30"/>
    </row>
    <row r="593" ht="15.75" customHeight="1">
      <c r="D593" s="28"/>
      <c r="E593" s="29"/>
      <c r="G593" s="30"/>
    </row>
    <row r="594" ht="15.75" customHeight="1">
      <c r="D594" s="28"/>
      <c r="E594" s="29"/>
      <c r="G594" s="30"/>
    </row>
    <row r="595" ht="15.75" customHeight="1">
      <c r="D595" s="28"/>
      <c r="E595" s="29"/>
      <c r="G595" s="30"/>
    </row>
    <row r="596" ht="15.75" customHeight="1">
      <c r="D596" s="28"/>
      <c r="E596" s="29"/>
      <c r="G596" s="30"/>
    </row>
    <row r="597" ht="15.75" customHeight="1">
      <c r="D597" s="28"/>
      <c r="E597" s="29"/>
      <c r="G597" s="30"/>
    </row>
    <row r="598" ht="15.75" customHeight="1">
      <c r="D598" s="28"/>
      <c r="E598" s="29"/>
      <c r="G598" s="30"/>
    </row>
    <row r="599" ht="15.75" customHeight="1">
      <c r="D599" s="28"/>
      <c r="E599" s="29"/>
      <c r="G599" s="30"/>
    </row>
    <row r="600" ht="15.75" customHeight="1">
      <c r="D600" s="28"/>
      <c r="E600" s="29"/>
      <c r="G600" s="30"/>
    </row>
    <row r="601" ht="15.75" customHeight="1">
      <c r="D601" s="28"/>
      <c r="E601" s="29"/>
      <c r="G601" s="30"/>
    </row>
    <row r="602" ht="15.75" customHeight="1">
      <c r="D602" s="28"/>
      <c r="E602" s="29"/>
      <c r="G602" s="30"/>
    </row>
    <row r="603" ht="15.75" customHeight="1">
      <c r="D603" s="28"/>
      <c r="E603" s="29"/>
      <c r="G603" s="30"/>
    </row>
    <row r="604" ht="15.75" customHeight="1">
      <c r="D604" s="28"/>
      <c r="E604" s="29"/>
      <c r="G604" s="30"/>
    </row>
    <row r="605" ht="15.75" customHeight="1">
      <c r="D605" s="28"/>
      <c r="E605" s="29"/>
      <c r="G605" s="30"/>
    </row>
    <row r="606" ht="15.75" customHeight="1">
      <c r="D606" s="28"/>
      <c r="E606" s="29"/>
      <c r="G606" s="30"/>
    </row>
    <row r="607" ht="15.75" customHeight="1">
      <c r="D607" s="28"/>
      <c r="E607" s="29"/>
      <c r="G607" s="30"/>
    </row>
    <row r="608" ht="15.75" customHeight="1">
      <c r="D608" s="28"/>
      <c r="E608" s="29"/>
      <c r="G608" s="30"/>
    </row>
    <row r="609" ht="15.75" customHeight="1">
      <c r="D609" s="28"/>
      <c r="E609" s="29"/>
      <c r="G609" s="30"/>
    </row>
    <row r="610" ht="15.75" customHeight="1">
      <c r="D610" s="28"/>
      <c r="E610" s="29"/>
      <c r="G610" s="30"/>
    </row>
    <row r="611" ht="15.75" customHeight="1">
      <c r="D611" s="28"/>
      <c r="E611" s="29"/>
      <c r="G611" s="30"/>
    </row>
    <row r="612" ht="15.75" customHeight="1">
      <c r="D612" s="28"/>
      <c r="E612" s="29"/>
      <c r="G612" s="30"/>
    </row>
    <row r="613" ht="15.75" customHeight="1">
      <c r="D613" s="28"/>
      <c r="E613" s="29"/>
      <c r="G613" s="30"/>
    </row>
    <row r="614" ht="15.75" customHeight="1">
      <c r="D614" s="28"/>
      <c r="E614" s="29"/>
      <c r="G614" s="30"/>
    </row>
    <row r="615" ht="15.75" customHeight="1">
      <c r="D615" s="28"/>
      <c r="E615" s="29"/>
      <c r="G615" s="30"/>
    </row>
    <row r="616" ht="15.75" customHeight="1">
      <c r="D616" s="28"/>
      <c r="E616" s="29"/>
      <c r="G616" s="30"/>
    </row>
    <row r="617" ht="15.75" customHeight="1">
      <c r="D617" s="28"/>
      <c r="E617" s="29"/>
      <c r="G617" s="30"/>
    </row>
    <row r="618" ht="15.75" customHeight="1">
      <c r="D618" s="28"/>
      <c r="E618" s="29"/>
      <c r="G618" s="30"/>
    </row>
    <row r="619" ht="15.75" customHeight="1">
      <c r="D619" s="28"/>
      <c r="E619" s="29"/>
      <c r="G619" s="30"/>
    </row>
    <row r="620" ht="15.75" customHeight="1">
      <c r="D620" s="28"/>
      <c r="E620" s="29"/>
      <c r="G620" s="30"/>
    </row>
    <row r="621" ht="15.75" customHeight="1">
      <c r="D621" s="28"/>
      <c r="E621" s="29"/>
      <c r="G621" s="30"/>
    </row>
    <row r="622" ht="15.75" customHeight="1">
      <c r="D622" s="28"/>
      <c r="E622" s="29"/>
      <c r="G622" s="30"/>
    </row>
    <row r="623" ht="15.75" customHeight="1">
      <c r="D623" s="28"/>
      <c r="E623" s="29"/>
      <c r="G623" s="30"/>
    </row>
    <row r="624" ht="15.75" customHeight="1">
      <c r="D624" s="28"/>
      <c r="E624" s="29"/>
      <c r="G624" s="30"/>
    </row>
    <row r="625" ht="15.75" customHeight="1">
      <c r="D625" s="28"/>
      <c r="E625" s="29"/>
      <c r="G625" s="30"/>
    </row>
    <row r="626" ht="15.75" customHeight="1">
      <c r="D626" s="28"/>
      <c r="E626" s="29"/>
      <c r="G626" s="30"/>
    </row>
    <row r="627" ht="15.75" customHeight="1">
      <c r="D627" s="28"/>
      <c r="E627" s="29"/>
      <c r="G627" s="30"/>
    </row>
    <row r="628" ht="15.75" customHeight="1">
      <c r="D628" s="28"/>
      <c r="E628" s="29"/>
      <c r="G628" s="30"/>
    </row>
    <row r="629" ht="15.75" customHeight="1">
      <c r="D629" s="28"/>
      <c r="E629" s="29"/>
      <c r="G629" s="30"/>
    </row>
    <row r="630" ht="15.75" customHeight="1">
      <c r="D630" s="28"/>
      <c r="E630" s="29"/>
      <c r="G630" s="30"/>
    </row>
    <row r="631" ht="15.75" customHeight="1">
      <c r="D631" s="28"/>
      <c r="E631" s="29"/>
      <c r="G631" s="30"/>
    </row>
    <row r="632" ht="15.75" customHeight="1">
      <c r="D632" s="28"/>
      <c r="E632" s="29"/>
      <c r="G632" s="30"/>
    </row>
    <row r="633" ht="15.75" customHeight="1">
      <c r="D633" s="28"/>
      <c r="E633" s="29"/>
      <c r="G633" s="30"/>
    </row>
    <row r="634" ht="15.75" customHeight="1">
      <c r="D634" s="28"/>
      <c r="E634" s="29"/>
      <c r="G634" s="30"/>
    </row>
    <row r="635" ht="15.75" customHeight="1">
      <c r="D635" s="28"/>
      <c r="E635" s="29"/>
      <c r="G635" s="30"/>
    </row>
    <row r="636" ht="15.75" customHeight="1">
      <c r="D636" s="28"/>
      <c r="E636" s="29"/>
      <c r="G636" s="30"/>
    </row>
    <row r="637" ht="15.75" customHeight="1">
      <c r="D637" s="28"/>
      <c r="E637" s="29"/>
      <c r="G637" s="30"/>
    </row>
    <row r="638" ht="15.75" customHeight="1">
      <c r="D638" s="28"/>
      <c r="E638" s="29"/>
      <c r="G638" s="30"/>
    </row>
    <row r="639" ht="15.75" customHeight="1">
      <c r="D639" s="28"/>
      <c r="E639" s="29"/>
      <c r="G639" s="30"/>
    </row>
    <row r="640" ht="15.75" customHeight="1">
      <c r="D640" s="28"/>
      <c r="E640" s="29"/>
      <c r="G640" s="30"/>
    </row>
    <row r="641" ht="15.75" customHeight="1">
      <c r="D641" s="28"/>
      <c r="E641" s="29"/>
      <c r="G641" s="30"/>
    </row>
    <row r="642" ht="15.75" customHeight="1">
      <c r="D642" s="28"/>
      <c r="E642" s="29"/>
      <c r="G642" s="30"/>
    </row>
    <row r="643" ht="15.75" customHeight="1">
      <c r="D643" s="28"/>
      <c r="E643" s="29"/>
      <c r="G643" s="30"/>
    </row>
    <row r="644" ht="15.75" customHeight="1">
      <c r="D644" s="28"/>
      <c r="E644" s="29"/>
      <c r="G644" s="30"/>
    </row>
    <row r="645" ht="15.75" customHeight="1">
      <c r="D645" s="28"/>
      <c r="E645" s="29"/>
      <c r="G645" s="30"/>
    </row>
    <row r="646" ht="15.75" customHeight="1">
      <c r="D646" s="28"/>
      <c r="E646" s="29"/>
      <c r="G646" s="30"/>
    </row>
    <row r="647" ht="15.75" customHeight="1">
      <c r="D647" s="28"/>
      <c r="E647" s="29"/>
      <c r="G647" s="30"/>
    </row>
    <row r="648" ht="15.75" customHeight="1">
      <c r="D648" s="28"/>
      <c r="E648" s="29"/>
      <c r="G648" s="30"/>
    </row>
    <row r="649" ht="15.75" customHeight="1">
      <c r="D649" s="28"/>
      <c r="E649" s="29"/>
      <c r="G649" s="30"/>
    </row>
    <row r="650" ht="15.75" customHeight="1">
      <c r="D650" s="28"/>
      <c r="E650" s="29"/>
      <c r="G650" s="30"/>
    </row>
    <row r="651" ht="15.75" customHeight="1">
      <c r="D651" s="28"/>
      <c r="E651" s="29"/>
      <c r="G651" s="30"/>
    </row>
    <row r="652" ht="15.75" customHeight="1">
      <c r="D652" s="28"/>
      <c r="E652" s="29"/>
      <c r="G652" s="30"/>
    </row>
    <row r="653" ht="15.75" customHeight="1">
      <c r="D653" s="28"/>
      <c r="E653" s="29"/>
      <c r="G653" s="30"/>
    </row>
    <row r="654" ht="15.75" customHeight="1">
      <c r="D654" s="28"/>
      <c r="E654" s="29"/>
      <c r="G654" s="30"/>
    </row>
    <row r="655" ht="15.75" customHeight="1">
      <c r="D655" s="28"/>
      <c r="E655" s="29"/>
      <c r="G655" s="30"/>
    </row>
    <row r="656" ht="15.75" customHeight="1">
      <c r="D656" s="28"/>
      <c r="E656" s="29"/>
      <c r="G656" s="30"/>
    </row>
    <row r="657" ht="15.75" customHeight="1">
      <c r="D657" s="28"/>
      <c r="E657" s="29"/>
      <c r="G657" s="30"/>
    </row>
    <row r="658" ht="15.75" customHeight="1">
      <c r="D658" s="28"/>
      <c r="E658" s="29"/>
      <c r="G658" s="30"/>
    </row>
    <row r="659" ht="15.75" customHeight="1">
      <c r="D659" s="28"/>
      <c r="E659" s="29"/>
      <c r="G659" s="30"/>
    </row>
    <row r="660" ht="15.75" customHeight="1">
      <c r="D660" s="28"/>
      <c r="E660" s="29"/>
      <c r="G660" s="30"/>
    </row>
    <row r="661" ht="15.75" customHeight="1">
      <c r="D661" s="28"/>
      <c r="E661" s="29"/>
      <c r="G661" s="30"/>
    </row>
    <row r="662" ht="15.75" customHeight="1">
      <c r="D662" s="28"/>
      <c r="E662" s="29"/>
      <c r="G662" s="30"/>
    </row>
    <row r="663" ht="15.75" customHeight="1">
      <c r="D663" s="28"/>
      <c r="E663" s="29"/>
      <c r="G663" s="30"/>
    </row>
    <row r="664" ht="15.75" customHeight="1">
      <c r="D664" s="28"/>
      <c r="E664" s="29"/>
      <c r="G664" s="30"/>
    </row>
    <row r="665" ht="15.75" customHeight="1">
      <c r="D665" s="28"/>
      <c r="E665" s="29"/>
      <c r="G665" s="30"/>
    </row>
    <row r="666" ht="15.75" customHeight="1">
      <c r="D666" s="28"/>
      <c r="E666" s="29"/>
      <c r="G666" s="30"/>
    </row>
    <row r="667" ht="15.75" customHeight="1">
      <c r="D667" s="28"/>
      <c r="E667" s="29"/>
      <c r="G667" s="30"/>
    </row>
    <row r="668" ht="15.75" customHeight="1">
      <c r="D668" s="28"/>
      <c r="E668" s="29"/>
      <c r="G668" s="30"/>
    </row>
    <row r="669" ht="15.75" customHeight="1">
      <c r="D669" s="28"/>
      <c r="E669" s="29"/>
      <c r="G669" s="30"/>
    </row>
    <row r="670" ht="15.75" customHeight="1">
      <c r="D670" s="28"/>
      <c r="E670" s="29"/>
      <c r="G670" s="30"/>
    </row>
    <row r="671" ht="15.75" customHeight="1">
      <c r="D671" s="28"/>
      <c r="E671" s="29"/>
      <c r="G671" s="30"/>
    </row>
    <row r="672" ht="15.75" customHeight="1">
      <c r="D672" s="28"/>
      <c r="E672" s="29"/>
      <c r="G672" s="30"/>
    </row>
    <row r="673" ht="15.75" customHeight="1">
      <c r="D673" s="28"/>
      <c r="E673" s="29"/>
      <c r="G673" s="30"/>
    </row>
    <row r="674" ht="15.75" customHeight="1">
      <c r="D674" s="28"/>
      <c r="E674" s="29"/>
      <c r="G674" s="30"/>
    </row>
    <row r="675" ht="15.75" customHeight="1">
      <c r="D675" s="28"/>
      <c r="E675" s="29"/>
      <c r="G675" s="30"/>
    </row>
    <row r="676" ht="15.75" customHeight="1">
      <c r="D676" s="28"/>
      <c r="E676" s="29"/>
      <c r="G676" s="30"/>
    </row>
    <row r="677" ht="15.75" customHeight="1">
      <c r="D677" s="28"/>
      <c r="E677" s="29"/>
      <c r="G677" s="30"/>
    </row>
    <row r="678" ht="15.75" customHeight="1">
      <c r="D678" s="28"/>
      <c r="E678" s="29"/>
      <c r="G678" s="30"/>
    </row>
    <row r="679" ht="15.75" customHeight="1">
      <c r="D679" s="28"/>
      <c r="E679" s="29"/>
      <c r="G679" s="30"/>
    </row>
    <row r="680" ht="15.75" customHeight="1">
      <c r="D680" s="28"/>
      <c r="E680" s="29"/>
      <c r="G680" s="30"/>
    </row>
    <row r="681" ht="15.75" customHeight="1">
      <c r="D681" s="28"/>
      <c r="E681" s="29"/>
      <c r="G681" s="30"/>
    </row>
    <row r="682" ht="15.75" customHeight="1">
      <c r="D682" s="28"/>
      <c r="E682" s="29"/>
      <c r="G682" s="30"/>
    </row>
    <row r="683" ht="15.75" customHeight="1">
      <c r="D683" s="28"/>
      <c r="E683" s="29"/>
      <c r="G683" s="30"/>
    </row>
    <row r="684" ht="15.75" customHeight="1">
      <c r="D684" s="28"/>
      <c r="E684" s="29"/>
      <c r="G684" s="30"/>
    </row>
    <row r="685" ht="15.75" customHeight="1">
      <c r="D685" s="28"/>
      <c r="E685" s="29"/>
      <c r="G685" s="30"/>
    </row>
    <row r="686" ht="15.75" customHeight="1">
      <c r="D686" s="28"/>
      <c r="E686" s="29"/>
      <c r="G686" s="30"/>
    </row>
    <row r="687" ht="15.75" customHeight="1">
      <c r="D687" s="28"/>
      <c r="E687" s="29"/>
      <c r="G687" s="30"/>
    </row>
    <row r="688" ht="15.75" customHeight="1">
      <c r="D688" s="28"/>
      <c r="E688" s="29"/>
      <c r="G688" s="30"/>
    </row>
    <row r="689" ht="15.75" customHeight="1">
      <c r="D689" s="28"/>
      <c r="E689" s="29"/>
      <c r="G689" s="30"/>
    </row>
    <row r="690" ht="15.75" customHeight="1">
      <c r="D690" s="28"/>
      <c r="E690" s="29"/>
      <c r="G690" s="30"/>
    </row>
    <row r="691" ht="15.75" customHeight="1">
      <c r="D691" s="28"/>
      <c r="E691" s="29"/>
      <c r="G691" s="30"/>
    </row>
    <row r="692" ht="15.75" customHeight="1">
      <c r="D692" s="28"/>
      <c r="E692" s="29"/>
      <c r="G692" s="30"/>
    </row>
    <row r="693" ht="15.75" customHeight="1">
      <c r="D693" s="28"/>
      <c r="E693" s="29"/>
      <c r="G693" s="30"/>
    </row>
    <row r="694" ht="15.75" customHeight="1">
      <c r="D694" s="28"/>
      <c r="E694" s="29"/>
      <c r="G694" s="30"/>
    </row>
    <row r="695" ht="15.75" customHeight="1">
      <c r="D695" s="28"/>
      <c r="E695" s="29"/>
      <c r="G695" s="30"/>
    </row>
    <row r="696" ht="15.75" customHeight="1">
      <c r="D696" s="28"/>
      <c r="E696" s="29"/>
      <c r="G696" s="30"/>
    </row>
    <row r="697" ht="15.75" customHeight="1">
      <c r="D697" s="28"/>
      <c r="E697" s="29"/>
      <c r="G697" s="30"/>
    </row>
    <row r="698" ht="15.75" customHeight="1">
      <c r="D698" s="28"/>
      <c r="E698" s="29"/>
      <c r="G698" s="30"/>
    </row>
    <row r="699" ht="15.75" customHeight="1">
      <c r="D699" s="28"/>
      <c r="E699" s="29"/>
      <c r="G699" s="30"/>
    </row>
    <row r="700" ht="15.75" customHeight="1">
      <c r="D700" s="28"/>
      <c r="E700" s="29"/>
      <c r="G700" s="30"/>
    </row>
    <row r="701" ht="15.75" customHeight="1">
      <c r="D701" s="28"/>
      <c r="E701" s="29"/>
      <c r="G701" s="30"/>
    </row>
    <row r="702" ht="15.75" customHeight="1">
      <c r="D702" s="28"/>
      <c r="E702" s="29"/>
      <c r="G702" s="30"/>
    </row>
    <row r="703" ht="15.75" customHeight="1">
      <c r="D703" s="28"/>
      <c r="E703" s="29"/>
      <c r="G703" s="30"/>
    </row>
    <row r="704" ht="15.75" customHeight="1">
      <c r="D704" s="28"/>
      <c r="E704" s="29"/>
      <c r="G704" s="30"/>
    </row>
    <row r="705" ht="15.75" customHeight="1">
      <c r="D705" s="28"/>
      <c r="E705" s="29"/>
      <c r="G705" s="30"/>
    </row>
    <row r="706" ht="15.75" customHeight="1">
      <c r="D706" s="28"/>
      <c r="E706" s="29"/>
      <c r="G706" s="30"/>
    </row>
    <row r="707" ht="15.75" customHeight="1">
      <c r="D707" s="28"/>
      <c r="E707" s="29"/>
      <c r="G707" s="30"/>
    </row>
    <row r="708" ht="15.75" customHeight="1">
      <c r="D708" s="28"/>
      <c r="E708" s="29"/>
      <c r="G708" s="30"/>
    </row>
    <row r="709" ht="15.75" customHeight="1">
      <c r="D709" s="28"/>
      <c r="E709" s="29"/>
      <c r="G709" s="30"/>
    </row>
    <row r="710" ht="15.75" customHeight="1">
      <c r="D710" s="28"/>
      <c r="E710" s="29"/>
      <c r="G710" s="30"/>
    </row>
    <row r="711" ht="15.75" customHeight="1">
      <c r="D711" s="28"/>
      <c r="E711" s="29"/>
      <c r="G711" s="30"/>
    </row>
    <row r="712" ht="15.75" customHeight="1">
      <c r="D712" s="28"/>
      <c r="E712" s="29"/>
      <c r="G712" s="30"/>
    </row>
    <row r="713" ht="15.75" customHeight="1">
      <c r="D713" s="28"/>
      <c r="E713" s="29"/>
      <c r="G713" s="30"/>
    </row>
    <row r="714" ht="15.75" customHeight="1">
      <c r="D714" s="28"/>
      <c r="E714" s="29"/>
      <c r="G714" s="30"/>
    </row>
    <row r="715" ht="15.75" customHeight="1">
      <c r="D715" s="28"/>
      <c r="E715" s="29"/>
      <c r="G715" s="30"/>
    </row>
    <row r="716" ht="15.75" customHeight="1">
      <c r="D716" s="28"/>
      <c r="E716" s="29"/>
      <c r="G716" s="30"/>
    </row>
    <row r="717" ht="15.75" customHeight="1">
      <c r="D717" s="28"/>
      <c r="E717" s="29"/>
      <c r="G717" s="30"/>
    </row>
    <row r="718" ht="15.75" customHeight="1">
      <c r="D718" s="28"/>
      <c r="E718" s="29"/>
      <c r="G718" s="30"/>
    </row>
    <row r="719" ht="15.75" customHeight="1">
      <c r="D719" s="28"/>
      <c r="E719" s="29"/>
      <c r="G719" s="30"/>
    </row>
    <row r="720" ht="15.75" customHeight="1">
      <c r="D720" s="28"/>
      <c r="E720" s="29"/>
      <c r="G720" s="30"/>
    </row>
    <row r="721" ht="15.75" customHeight="1">
      <c r="D721" s="28"/>
      <c r="E721" s="29"/>
      <c r="G721" s="30"/>
    </row>
    <row r="722" ht="15.75" customHeight="1">
      <c r="D722" s="28"/>
      <c r="E722" s="29"/>
      <c r="G722" s="30"/>
    </row>
    <row r="723" ht="15.75" customHeight="1">
      <c r="D723" s="28"/>
      <c r="E723" s="29"/>
      <c r="G723" s="30"/>
    </row>
    <row r="724" ht="15.75" customHeight="1">
      <c r="D724" s="28"/>
      <c r="E724" s="29"/>
      <c r="G724" s="30"/>
    </row>
    <row r="725" ht="15.75" customHeight="1">
      <c r="D725" s="28"/>
      <c r="E725" s="29"/>
      <c r="G725" s="30"/>
    </row>
    <row r="726" ht="15.75" customHeight="1">
      <c r="D726" s="28"/>
      <c r="E726" s="29"/>
      <c r="G726" s="30"/>
    </row>
    <row r="727" ht="15.75" customHeight="1">
      <c r="D727" s="28"/>
      <c r="E727" s="29"/>
      <c r="G727" s="30"/>
    </row>
    <row r="728" ht="15.75" customHeight="1">
      <c r="D728" s="28"/>
      <c r="E728" s="29"/>
      <c r="G728" s="30"/>
    </row>
    <row r="729" ht="15.75" customHeight="1">
      <c r="D729" s="28"/>
      <c r="E729" s="29"/>
      <c r="G729" s="30"/>
    </row>
    <row r="730" ht="15.75" customHeight="1">
      <c r="D730" s="28"/>
      <c r="E730" s="29"/>
      <c r="G730" s="30"/>
    </row>
    <row r="731" ht="15.75" customHeight="1">
      <c r="D731" s="28"/>
      <c r="E731" s="29"/>
      <c r="G731" s="30"/>
    </row>
    <row r="732" ht="15.75" customHeight="1">
      <c r="D732" s="28"/>
      <c r="E732" s="29"/>
      <c r="G732" s="30"/>
    </row>
    <row r="733" ht="15.75" customHeight="1">
      <c r="D733" s="28"/>
      <c r="E733" s="29"/>
      <c r="G733" s="30"/>
    </row>
    <row r="734" ht="15.75" customHeight="1">
      <c r="D734" s="28"/>
      <c r="E734" s="29"/>
      <c r="G734" s="30"/>
    </row>
    <row r="735" ht="15.75" customHeight="1">
      <c r="D735" s="28"/>
      <c r="E735" s="29"/>
      <c r="G735" s="30"/>
    </row>
    <row r="736" ht="15.75" customHeight="1">
      <c r="D736" s="28"/>
      <c r="E736" s="29"/>
      <c r="G736" s="30"/>
    </row>
    <row r="737" ht="15.75" customHeight="1">
      <c r="D737" s="28"/>
      <c r="E737" s="29"/>
      <c r="G737" s="30"/>
    </row>
    <row r="738" ht="15.75" customHeight="1">
      <c r="D738" s="28"/>
      <c r="E738" s="29"/>
      <c r="G738" s="30"/>
    </row>
    <row r="739" ht="15.75" customHeight="1">
      <c r="D739" s="28"/>
      <c r="E739" s="29"/>
      <c r="G739" s="30"/>
    </row>
    <row r="740" ht="15.75" customHeight="1">
      <c r="D740" s="28"/>
      <c r="E740" s="29"/>
      <c r="G740" s="30"/>
    </row>
    <row r="741" ht="15.75" customHeight="1">
      <c r="D741" s="28"/>
      <c r="E741" s="29"/>
      <c r="G741" s="30"/>
    </row>
    <row r="742" ht="15.75" customHeight="1">
      <c r="D742" s="28"/>
      <c r="E742" s="29"/>
      <c r="G742" s="30"/>
    </row>
    <row r="743" ht="15.75" customHeight="1">
      <c r="D743" s="28"/>
      <c r="E743" s="29"/>
      <c r="G743" s="30"/>
    </row>
    <row r="744" ht="15.75" customHeight="1">
      <c r="D744" s="28"/>
      <c r="E744" s="29"/>
      <c r="G744" s="30"/>
    </row>
    <row r="745" ht="15.75" customHeight="1">
      <c r="D745" s="28"/>
      <c r="E745" s="29"/>
      <c r="G745" s="30"/>
    </row>
    <row r="746" ht="15.75" customHeight="1">
      <c r="D746" s="28"/>
      <c r="E746" s="29"/>
      <c r="G746" s="30"/>
    </row>
    <row r="747" ht="15.75" customHeight="1">
      <c r="D747" s="28"/>
      <c r="E747" s="29"/>
      <c r="G747" s="30"/>
    </row>
    <row r="748" ht="15.75" customHeight="1">
      <c r="D748" s="28"/>
      <c r="E748" s="29"/>
      <c r="G748" s="30"/>
    </row>
    <row r="749" ht="15.75" customHeight="1">
      <c r="D749" s="28"/>
      <c r="E749" s="29"/>
      <c r="G749" s="30"/>
    </row>
    <row r="750" ht="15.75" customHeight="1">
      <c r="D750" s="28"/>
      <c r="E750" s="29"/>
      <c r="G750" s="30"/>
    </row>
    <row r="751" ht="15.75" customHeight="1">
      <c r="D751" s="28"/>
      <c r="E751" s="29"/>
      <c r="G751" s="30"/>
    </row>
    <row r="752" ht="15.75" customHeight="1">
      <c r="D752" s="28"/>
      <c r="E752" s="29"/>
      <c r="G752" s="30"/>
    </row>
    <row r="753" ht="15.75" customHeight="1">
      <c r="D753" s="28"/>
      <c r="E753" s="29"/>
      <c r="G753" s="30"/>
    </row>
    <row r="754" ht="15.75" customHeight="1">
      <c r="D754" s="28"/>
      <c r="E754" s="29"/>
      <c r="G754" s="30"/>
    </row>
    <row r="755" ht="15.75" customHeight="1">
      <c r="D755" s="28"/>
      <c r="E755" s="29"/>
      <c r="G755" s="30"/>
    </row>
    <row r="756" ht="15.75" customHeight="1">
      <c r="D756" s="28"/>
      <c r="E756" s="29"/>
      <c r="G756" s="30"/>
    </row>
    <row r="757" ht="15.75" customHeight="1">
      <c r="D757" s="28"/>
      <c r="E757" s="29"/>
      <c r="G757" s="30"/>
    </row>
    <row r="758" ht="15.75" customHeight="1">
      <c r="D758" s="28"/>
      <c r="E758" s="29"/>
      <c r="G758" s="30"/>
    </row>
    <row r="759" ht="15.75" customHeight="1">
      <c r="D759" s="28"/>
      <c r="E759" s="29"/>
      <c r="G759" s="30"/>
    </row>
    <row r="760" ht="15.75" customHeight="1">
      <c r="D760" s="28"/>
      <c r="E760" s="29"/>
      <c r="G760" s="30"/>
    </row>
    <row r="761" ht="15.75" customHeight="1">
      <c r="D761" s="28"/>
      <c r="E761" s="29"/>
      <c r="G761" s="30"/>
    </row>
    <row r="762" ht="15.75" customHeight="1">
      <c r="D762" s="28"/>
      <c r="E762" s="29"/>
      <c r="G762" s="30"/>
    </row>
    <row r="763" ht="15.75" customHeight="1">
      <c r="D763" s="28"/>
      <c r="E763" s="29"/>
      <c r="G763" s="30"/>
    </row>
    <row r="764" ht="15.75" customHeight="1">
      <c r="D764" s="28"/>
      <c r="E764" s="29"/>
      <c r="G764" s="30"/>
    </row>
    <row r="765" ht="15.75" customHeight="1">
      <c r="D765" s="28"/>
      <c r="E765" s="29"/>
      <c r="G765" s="30"/>
    </row>
    <row r="766" ht="15.75" customHeight="1">
      <c r="D766" s="28"/>
      <c r="E766" s="29"/>
      <c r="G766" s="30"/>
    </row>
    <row r="767" ht="15.75" customHeight="1">
      <c r="D767" s="28"/>
      <c r="E767" s="29"/>
      <c r="G767" s="30"/>
    </row>
    <row r="768" ht="15.75" customHeight="1">
      <c r="D768" s="28"/>
      <c r="E768" s="29"/>
      <c r="G768" s="30"/>
    </row>
    <row r="769" ht="15.75" customHeight="1">
      <c r="D769" s="28"/>
      <c r="E769" s="29"/>
      <c r="G769" s="30"/>
    </row>
    <row r="770" ht="15.75" customHeight="1">
      <c r="D770" s="28"/>
      <c r="E770" s="29"/>
      <c r="G770" s="30"/>
    </row>
    <row r="771" ht="15.75" customHeight="1">
      <c r="D771" s="28"/>
      <c r="E771" s="29"/>
      <c r="G771" s="30"/>
    </row>
    <row r="772" ht="15.75" customHeight="1">
      <c r="D772" s="28"/>
      <c r="E772" s="29"/>
      <c r="G772" s="30"/>
    </row>
    <row r="773" ht="15.75" customHeight="1">
      <c r="D773" s="28"/>
      <c r="E773" s="29"/>
      <c r="G773" s="30"/>
    </row>
    <row r="774" ht="15.75" customHeight="1">
      <c r="D774" s="28"/>
      <c r="E774" s="29"/>
      <c r="G774" s="30"/>
    </row>
    <row r="775" ht="15.75" customHeight="1">
      <c r="D775" s="28"/>
      <c r="E775" s="29"/>
      <c r="G775" s="30"/>
    </row>
    <row r="776" ht="15.75" customHeight="1">
      <c r="D776" s="28"/>
      <c r="E776" s="29"/>
      <c r="G776" s="30"/>
    </row>
    <row r="777" ht="15.75" customHeight="1">
      <c r="D777" s="28"/>
      <c r="E777" s="29"/>
      <c r="G777" s="30"/>
    </row>
    <row r="778" ht="15.75" customHeight="1">
      <c r="D778" s="28"/>
      <c r="E778" s="29"/>
      <c r="G778" s="30"/>
    </row>
    <row r="779" ht="15.75" customHeight="1">
      <c r="D779" s="28"/>
      <c r="E779" s="29"/>
      <c r="G779" s="30"/>
    </row>
    <row r="780" ht="15.75" customHeight="1">
      <c r="D780" s="28"/>
      <c r="E780" s="29"/>
      <c r="G780" s="30"/>
    </row>
    <row r="781" ht="15.75" customHeight="1">
      <c r="D781" s="28"/>
      <c r="E781" s="29"/>
      <c r="G781" s="30"/>
    </row>
    <row r="782" ht="15.75" customHeight="1">
      <c r="D782" s="28"/>
      <c r="E782" s="29"/>
      <c r="G782" s="30"/>
    </row>
    <row r="783" ht="15.75" customHeight="1">
      <c r="D783" s="28"/>
      <c r="E783" s="29"/>
      <c r="G783" s="30"/>
    </row>
    <row r="784" ht="15.75" customHeight="1">
      <c r="D784" s="28"/>
      <c r="E784" s="29"/>
      <c r="G784" s="30"/>
    </row>
    <row r="785" ht="15.75" customHeight="1">
      <c r="D785" s="28"/>
      <c r="E785" s="29"/>
      <c r="G785" s="30"/>
    </row>
    <row r="786" ht="15.75" customHeight="1">
      <c r="D786" s="28"/>
      <c r="E786" s="29"/>
      <c r="G786" s="30"/>
    </row>
    <row r="787" ht="15.75" customHeight="1">
      <c r="D787" s="28"/>
      <c r="E787" s="29"/>
      <c r="G787" s="30"/>
    </row>
    <row r="788" ht="15.75" customHeight="1">
      <c r="D788" s="28"/>
      <c r="E788" s="29"/>
      <c r="G788" s="30"/>
    </row>
    <row r="789" ht="15.75" customHeight="1">
      <c r="D789" s="28"/>
      <c r="E789" s="29"/>
      <c r="G789" s="30"/>
    </row>
    <row r="790" ht="15.75" customHeight="1">
      <c r="D790" s="28"/>
      <c r="E790" s="29"/>
      <c r="G790" s="30"/>
    </row>
    <row r="791" ht="15.75" customHeight="1">
      <c r="D791" s="28"/>
      <c r="E791" s="29"/>
      <c r="G791" s="30"/>
    </row>
    <row r="792" ht="15.75" customHeight="1">
      <c r="D792" s="28"/>
      <c r="E792" s="29"/>
      <c r="G792" s="30"/>
    </row>
    <row r="793" ht="15.75" customHeight="1">
      <c r="D793" s="28"/>
      <c r="E793" s="29"/>
      <c r="G793" s="30"/>
    </row>
    <row r="794" ht="15.75" customHeight="1">
      <c r="D794" s="28"/>
      <c r="E794" s="29"/>
      <c r="G794" s="30"/>
    </row>
    <row r="795" ht="15.75" customHeight="1">
      <c r="D795" s="28"/>
      <c r="E795" s="29"/>
      <c r="G795" s="30"/>
    </row>
    <row r="796" ht="15.75" customHeight="1">
      <c r="D796" s="28"/>
      <c r="E796" s="29"/>
      <c r="G796" s="30"/>
    </row>
    <row r="797" ht="15.75" customHeight="1">
      <c r="D797" s="28"/>
      <c r="E797" s="29"/>
      <c r="G797" s="30"/>
    </row>
    <row r="798" ht="15.75" customHeight="1">
      <c r="D798" s="28"/>
      <c r="E798" s="29"/>
      <c r="G798" s="30"/>
    </row>
    <row r="799" ht="15.75" customHeight="1">
      <c r="D799" s="28"/>
      <c r="E799" s="29"/>
      <c r="G799" s="30"/>
    </row>
    <row r="800" ht="15.75" customHeight="1">
      <c r="D800" s="28"/>
      <c r="E800" s="29"/>
      <c r="G800" s="30"/>
    </row>
    <row r="801" ht="15.75" customHeight="1">
      <c r="D801" s="28"/>
      <c r="E801" s="29"/>
      <c r="G801" s="30"/>
    </row>
    <row r="802" ht="15.75" customHeight="1">
      <c r="D802" s="28"/>
      <c r="E802" s="29"/>
      <c r="G802" s="30"/>
    </row>
    <row r="803" ht="15.75" customHeight="1">
      <c r="D803" s="28"/>
      <c r="E803" s="29"/>
      <c r="G803" s="30"/>
    </row>
    <row r="804" ht="15.75" customHeight="1">
      <c r="D804" s="28"/>
      <c r="E804" s="29"/>
      <c r="G804" s="30"/>
    </row>
    <row r="805" ht="15.75" customHeight="1">
      <c r="D805" s="28"/>
      <c r="E805" s="29"/>
      <c r="G805" s="30"/>
    </row>
    <row r="806" ht="15.75" customHeight="1">
      <c r="D806" s="28"/>
      <c r="E806" s="29"/>
      <c r="G806" s="30"/>
    </row>
    <row r="807" ht="15.75" customHeight="1">
      <c r="D807" s="28"/>
      <c r="E807" s="29"/>
      <c r="G807" s="30"/>
    </row>
    <row r="808" ht="15.75" customHeight="1">
      <c r="D808" s="28"/>
      <c r="E808" s="29"/>
      <c r="G808" s="30"/>
    </row>
    <row r="809" ht="15.75" customHeight="1">
      <c r="D809" s="28"/>
      <c r="E809" s="29"/>
      <c r="G809" s="30"/>
    </row>
    <row r="810" ht="15.75" customHeight="1">
      <c r="D810" s="28"/>
      <c r="E810" s="29"/>
      <c r="G810" s="30"/>
    </row>
    <row r="811" ht="15.75" customHeight="1">
      <c r="D811" s="28"/>
      <c r="E811" s="29"/>
      <c r="G811" s="30"/>
    </row>
    <row r="812" ht="15.75" customHeight="1">
      <c r="D812" s="28"/>
      <c r="E812" s="29"/>
      <c r="G812" s="30"/>
    </row>
    <row r="813" ht="15.75" customHeight="1">
      <c r="D813" s="28"/>
      <c r="E813" s="29"/>
      <c r="G813" s="30"/>
    </row>
    <row r="814" ht="15.75" customHeight="1">
      <c r="D814" s="28"/>
      <c r="E814" s="29"/>
      <c r="G814" s="30"/>
    </row>
    <row r="815" ht="15.75" customHeight="1">
      <c r="D815" s="28"/>
      <c r="E815" s="29"/>
      <c r="G815" s="30"/>
    </row>
    <row r="816" ht="15.75" customHeight="1">
      <c r="D816" s="28"/>
      <c r="E816" s="29"/>
      <c r="G816" s="30"/>
    </row>
    <row r="817" ht="15.75" customHeight="1">
      <c r="D817" s="28"/>
      <c r="E817" s="29"/>
      <c r="G817" s="30"/>
    </row>
    <row r="818" ht="15.75" customHeight="1">
      <c r="D818" s="28"/>
      <c r="E818" s="29"/>
      <c r="G818" s="30"/>
    </row>
    <row r="819" ht="15.75" customHeight="1">
      <c r="D819" s="28"/>
      <c r="E819" s="29"/>
      <c r="G819" s="30"/>
    </row>
    <row r="820" ht="15.75" customHeight="1">
      <c r="D820" s="28"/>
      <c r="E820" s="29"/>
      <c r="G820" s="30"/>
    </row>
    <row r="821" ht="15.75" customHeight="1">
      <c r="D821" s="28"/>
      <c r="E821" s="29"/>
      <c r="G821" s="30"/>
    </row>
    <row r="822" ht="15.75" customHeight="1">
      <c r="D822" s="28"/>
      <c r="E822" s="29"/>
      <c r="G822" s="30"/>
    </row>
    <row r="823" ht="15.75" customHeight="1">
      <c r="D823" s="28"/>
      <c r="E823" s="29"/>
      <c r="G823" s="30"/>
    </row>
    <row r="824" ht="15.75" customHeight="1">
      <c r="D824" s="28"/>
      <c r="E824" s="29"/>
      <c r="G824" s="30"/>
    </row>
    <row r="825" ht="15.75" customHeight="1">
      <c r="D825" s="28"/>
      <c r="E825" s="29"/>
      <c r="G825" s="30"/>
    </row>
    <row r="826" ht="15.75" customHeight="1">
      <c r="D826" s="28"/>
      <c r="E826" s="29"/>
      <c r="G826" s="30"/>
    </row>
    <row r="827" ht="15.75" customHeight="1">
      <c r="D827" s="28"/>
      <c r="E827" s="29"/>
      <c r="G827" s="30"/>
    </row>
    <row r="828" ht="15.75" customHeight="1">
      <c r="D828" s="28"/>
      <c r="E828" s="29"/>
      <c r="G828" s="30"/>
    </row>
    <row r="829" ht="15.75" customHeight="1">
      <c r="D829" s="28"/>
      <c r="E829" s="29"/>
      <c r="G829" s="30"/>
    </row>
    <row r="830" ht="15.75" customHeight="1">
      <c r="D830" s="28"/>
      <c r="E830" s="29"/>
      <c r="G830" s="30"/>
    </row>
    <row r="831" ht="15.75" customHeight="1">
      <c r="D831" s="28"/>
      <c r="E831" s="29"/>
      <c r="G831" s="30"/>
    </row>
    <row r="832" ht="15.75" customHeight="1">
      <c r="D832" s="28"/>
      <c r="E832" s="29"/>
      <c r="G832" s="30"/>
    </row>
    <row r="833" ht="15.75" customHeight="1">
      <c r="D833" s="28"/>
      <c r="E833" s="29"/>
      <c r="G833" s="30"/>
    </row>
    <row r="834" ht="15.75" customHeight="1">
      <c r="D834" s="28"/>
      <c r="E834" s="29"/>
      <c r="G834" s="30"/>
    </row>
    <row r="835" ht="15.75" customHeight="1">
      <c r="D835" s="28"/>
      <c r="E835" s="29"/>
      <c r="G835" s="30"/>
    </row>
    <row r="836" ht="15.75" customHeight="1">
      <c r="D836" s="28"/>
      <c r="E836" s="29"/>
      <c r="G836" s="30"/>
    </row>
    <row r="837" ht="15.75" customHeight="1">
      <c r="D837" s="28"/>
      <c r="E837" s="29"/>
      <c r="G837" s="30"/>
    </row>
    <row r="838" ht="15.75" customHeight="1">
      <c r="D838" s="28"/>
      <c r="E838" s="29"/>
      <c r="G838" s="30"/>
    </row>
    <row r="839" ht="15.75" customHeight="1">
      <c r="D839" s="28"/>
      <c r="E839" s="29"/>
      <c r="G839" s="30"/>
    </row>
    <row r="840" ht="15.75" customHeight="1">
      <c r="D840" s="28"/>
      <c r="E840" s="29"/>
      <c r="G840" s="30"/>
    </row>
    <row r="841" ht="15.75" customHeight="1">
      <c r="D841" s="28"/>
      <c r="E841" s="29"/>
      <c r="G841" s="30"/>
    </row>
    <row r="842" ht="15.75" customHeight="1">
      <c r="D842" s="28"/>
      <c r="E842" s="29"/>
      <c r="G842" s="30"/>
    </row>
    <row r="843" ht="15.75" customHeight="1">
      <c r="D843" s="28"/>
      <c r="E843" s="29"/>
      <c r="G843" s="30"/>
    </row>
    <row r="844" ht="15.75" customHeight="1">
      <c r="D844" s="28"/>
      <c r="E844" s="29"/>
      <c r="G844" s="30"/>
    </row>
    <row r="845" ht="15.75" customHeight="1">
      <c r="D845" s="28"/>
      <c r="E845" s="29"/>
      <c r="G845" s="30"/>
    </row>
    <row r="846" ht="15.75" customHeight="1">
      <c r="D846" s="28"/>
      <c r="E846" s="29"/>
      <c r="G846" s="30"/>
    </row>
    <row r="847" ht="15.75" customHeight="1">
      <c r="D847" s="28"/>
      <c r="E847" s="29"/>
      <c r="G847" s="30"/>
    </row>
    <row r="848" ht="15.75" customHeight="1">
      <c r="D848" s="28"/>
      <c r="E848" s="29"/>
      <c r="G848" s="30"/>
    </row>
    <row r="849" ht="15.75" customHeight="1">
      <c r="D849" s="28"/>
      <c r="E849" s="29"/>
      <c r="G849" s="30"/>
    </row>
    <row r="850" ht="15.75" customHeight="1">
      <c r="D850" s="28"/>
      <c r="E850" s="29"/>
      <c r="G850" s="30"/>
    </row>
    <row r="851" ht="15.75" customHeight="1">
      <c r="D851" s="28"/>
      <c r="E851" s="29"/>
      <c r="G851" s="30"/>
    </row>
    <row r="852" ht="15.75" customHeight="1">
      <c r="D852" s="28"/>
      <c r="E852" s="29"/>
      <c r="G852" s="30"/>
    </row>
    <row r="853" ht="15.75" customHeight="1">
      <c r="D853" s="28"/>
      <c r="E853" s="29"/>
      <c r="G853" s="30"/>
    </row>
    <row r="854" ht="15.75" customHeight="1">
      <c r="D854" s="28"/>
      <c r="E854" s="29"/>
      <c r="G854" s="30"/>
    </row>
    <row r="855" ht="15.75" customHeight="1">
      <c r="D855" s="28"/>
      <c r="E855" s="29"/>
      <c r="G855" s="30"/>
    </row>
    <row r="856" ht="15.75" customHeight="1">
      <c r="D856" s="28"/>
      <c r="E856" s="29"/>
      <c r="G856" s="30"/>
    </row>
    <row r="857" ht="15.75" customHeight="1">
      <c r="D857" s="28"/>
      <c r="E857" s="29"/>
      <c r="G857" s="30"/>
    </row>
    <row r="858" ht="15.75" customHeight="1">
      <c r="D858" s="28"/>
      <c r="E858" s="29"/>
      <c r="G858" s="30"/>
    </row>
    <row r="859" ht="15.75" customHeight="1">
      <c r="D859" s="28"/>
      <c r="E859" s="29"/>
      <c r="G859" s="30"/>
    </row>
    <row r="860" ht="15.75" customHeight="1">
      <c r="D860" s="28"/>
      <c r="E860" s="29"/>
      <c r="G860" s="30"/>
    </row>
    <row r="861" ht="15.75" customHeight="1">
      <c r="D861" s="28"/>
      <c r="E861" s="29"/>
      <c r="G861" s="30"/>
    </row>
    <row r="862" ht="15.75" customHeight="1">
      <c r="D862" s="28"/>
      <c r="E862" s="29"/>
      <c r="G862" s="30"/>
    </row>
    <row r="863" ht="15.75" customHeight="1">
      <c r="D863" s="28"/>
      <c r="E863" s="29"/>
      <c r="G863" s="30"/>
    </row>
    <row r="864" ht="15.75" customHeight="1">
      <c r="D864" s="28"/>
      <c r="E864" s="29"/>
      <c r="G864" s="30"/>
    </row>
    <row r="865" ht="15.75" customHeight="1">
      <c r="D865" s="28"/>
      <c r="E865" s="29"/>
      <c r="G865" s="30"/>
    </row>
    <row r="866" ht="15.75" customHeight="1">
      <c r="D866" s="28"/>
      <c r="E866" s="29"/>
      <c r="G866" s="30"/>
    </row>
    <row r="867" ht="15.75" customHeight="1">
      <c r="D867" s="28"/>
      <c r="E867" s="29"/>
      <c r="G867" s="30"/>
    </row>
    <row r="868" ht="15.75" customHeight="1">
      <c r="D868" s="28"/>
      <c r="E868" s="29"/>
      <c r="G868" s="30"/>
    </row>
    <row r="869" ht="15.75" customHeight="1">
      <c r="D869" s="28"/>
      <c r="E869" s="29"/>
      <c r="G869" s="30"/>
    </row>
    <row r="870" ht="15.75" customHeight="1">
      <c r="D870" s="28"/>
      <c r="E870" s="29"/>
      <c r="G870" s="30"/>
    </row>
    <row r="871" ht="15.75" customHeight="1">
      <c r="D871" s="28"/>
      <c r="E871" s="29"/>
      <c r="G871" s="30"/>
    </row>
    <row r="872" ht="15.75" customHeight="1">
      <c r="D872" s="28"/>
      <c r="E872" s="29"/>
      <c r="G872" s="30"/>
    </row>
    <row r="873" ht="15.75" customHeight="1">
      <c r="D873" s="28"/>
      <c r="E873" s="29"/>
      <c r="G873" s="30"/>
    </row>
    <row r="874" ht="15.75" customHeight="1">
      <c r="D874" s="28"/>
      <c r="E874" s="29"/>
      <c r="G874" s="30"/>
    </row>
    <row r="875" ht="15.75" customHeight="1">
      <c r="D875" s="28"/>
      <c r="E875" s="29"/>
      <c r="G875" s="30"/>
    </row>
    <row r="876" ht="15.75" customHeight="1">
      <c r="D876" s="28"/>
      <c r="E876" s="29"/>
      <c r="G876" s="30"/>
    </row>
    <row r="877" ht="15.75" customHeight="1">
      <c r="D877" s="28"/>
      <c r="E877" s="29"/>
      <c r="G877" s="30"/>
    </row>
    <row r="878" ht="15.75" customHeight="1">
      <c r="D878" s="28"/>
      <c r="E878" s="29"/>
      <c r="G878" s="30"/>
    </row>
    <row r="879" ht="15.75" customHeight="1">
      <c r="D879" s="28"/>
      <c r="E879" s="29"/>
      <c r="G879" s="30"/>
    </row>
    <row r="880" ht="15.75" customHeight="1">
      <c r="D880" s="28"/>
      <c r="E880" s="29"/>
      <c r="G880" s="30"/>
    </row>
    <row r="881" ht="15.75" customHeight="1">
      <c r="D881" s="28"/>
      <c r="E881" s="29"/>
      <c r="G881" s="30"/>
    </row>
    <row r="882" ht="15.75" customHeight="1">
      <c r="D882" s="28"/>
      <c r="E882" s="29"/>
      <c r="G882" s="30"/>
    </row>
    <row r="883" ht="15.75" customHeight="1">
      <c r="D883" s="28"/>
      <c r="E883" s="29"/>
      <c r="G883" s="30"/>
    </row>
    <row r="884" ht="15.75" customHeight="1">
      <c r="D884" s="28"/>
      <c r="E884" s="29"/>
      <c r="G884" s="30"/>
    </row>
    <row r="885" ht="15.75" customHeight="1">
      <c r="D885" s="28"/>
      <c r="E885" s="29"/>
      <c r="G885" s="30"/>
    </row>
    <row r="886" ht="15.75" customHeight="1">
      <c r="D886" s="28"/>
      <c r="E886" s="29"/>
      <c r="G886" s="30"/>
    </row>
    <row r="887" ht="15.75" customHeight="1">
      <c r="D887" s="28"/>
      <c r="E887" s="29"/>
      <c r="G887" s="30"/>
    </row>
    <row r="888" ht="15.75" customHeight="1">
      <c r="D888" s="28"/>
      <c r="E888" s="29"/>
      <c r="G888" s="30"/>
    </row>
    <row r="889" ht="15.75" customHeight="1">
      <c r="D889" s="28"/>
      <c r="E889" s="29"/>
      <c r="G889" s="30"/>
    </row>
    <row r="890" ht="15.75" customHeight="1">
      <c r="D890" s="28"/>
      <c r="E890" s="29"/>
      <c r="G890" s="30"/>
    </row>
    <row r="891" ht="15.75" customHeight="1">
      <c r="D891" s="28"/>
      <c r="E891" s="29"/>
      <c r="G891" s="30"/>
    </row>
    <row r="892" ht="15.75" customHeight="1">
      <c r="D892" s="28"/>
      <c r="E892" s="29"/>
      <c r="G892" s="30"/>
    </row>
    <row r="893" ht="15.75" customHeight="1">
      <c r="D893" s="28"/>
      <c r="E893" s="29"/>
      <c r="G893" s="30"/>
    </row>
    <row r="894" ht="15.75" customHeight="1">
      <c r="D894" s="28"/>
      <c r="E894" s="29"/>
      <c r="G894" s="30"/>
    </row>
    <row r="895" ht="15.75" customHeight="1">
      <c r="D895" s="28"/>
      <c r="E895" s="29"/>
      <c r="G895" s="30"/>
    </row>
    <row r="896" ht="15.75" customHeight="1">
      <c r="D896" s="28"/>
      <c r="E896" s="29"/>
      <c r="G896" s="30"/>
    </row>
    <row r="897" ht="15.75" customHeight="1">
      <c r="D897" s="28"/>
      <c r="E897" s="29"/>
      <c r="G897" s="30"/>
    </row>
    <row r="898" ht="15.75" customHeight="1">
      <c r="D898" s="28"/>
      <c r="E898" s="29"/>
      <c r="G898" s="30"/>
    </row>
    <row r="899" ht="15.75" customHeight="1">
      <c r="D899" s="28"/>
      <c r="E899" s="29"/>
      <c r="G899" s="30"/>
    </row>
    <row r="900" ht="15.75" customHeight="1">
      <c r="D900" s="28"/>
      <c r="E900" s="29"/>
      <c r="G900" s="30"/>
    </row>
    <row r="901" ht="15.75" customHeight="1">
      <c r="D901" s="28"/>
      <c r="E901" s="29"/>
      <c r="G901" s="30"/>
    </row>
    <row r="902" ht="15.75" customHeight="1">
      <c r="D902" s="28"/>
      <c r="E902" s="29"/>
      <c r="G902" s="30"/>
    </row>
    <row r="903" ht="15.75" customHeight="1">
      <c r="D903" s="28"/>
      <c r="E903" s="29"/>
      <c r="G903" s="30"/>
    </row>
    <row r="904" ht="15.75" customHeight="1">
      <c r="D904" s="28"/>
      <c r="E904" s="29"/>
      <c r="G904" s="30"/>
    </row>
    <row r="905" ht="15.75" customHeight="1">
      <c r="D905" s="28"/>
      <c r="E905" s="29"/>
      <c r="G905" s="30"/>
    </row>
    <row r="906" ht="15.75" customHeight="1">
      <c r="D906" s="28"/>
      <c r="E906" s="29"/>
      <c r="G906" s="30"/>
    </row>
    <row r="907" ht="15.75" customHeight="1">
      <c r="D907" s="28"/>
      <c r="E907" s="29"/>
      <c r="G907" s="30"/>
    </row>
    <row r="908" ht="15.75" customHeight="1">
      <c r="D908" s="28"/>
      <c r="E908" s="29"/>
      <c r="G908" s="30"/>
    </row>
    <row r="909" ht="15.75" customHeight="1">
      <c r="D909" s="28"/>
      <c r="E909" s="29"/>
      <c r="G909" s="30"/>
    </row>
    <row r="910" ht="15.75" customHeight="1">
      <c r="D910" s="28"/>
      <c r="E910" s="29"/>
      <c r="G910" s="30"/>
    </row>
    <row r="911" ht="15.75" customHeight="1">
      <c r="D911" s="28"/>
      <c r="E911" s="29"/>
      <c r="G911" s="30"/>
    </row>
    <row r="912" ht="15.75" customHeight="1">
      <c r="D912" s="28"/>
      <c r="E912" s="29"/>
      <c r="G912" s="30"/>
    </row>
    <row r="913" ht="15.75" customHeight="1">
      <c r="D913" s="28"/>
      <c r="E913" s="29"/>
      <c r="G913" s="30"/>
    </row>
    <row r="914" ht="15.75" customHeight="1">
      <c r="D914" s="28"/>
      <c r="E914" s="29"/>
      <c r="G914" s="30"/>
    </row>
    <row r="915" ht="15.75" customHeight="1">
      <c r="D915" s="28"/>
      <c r="E915" s="29"/>
      <c r="G915" s="30"/>
    </row>
    <row r="916" ht="15.75" customHeight="1">
      <c r="D916" s="28"/>
      <c r="E916" s="29"/>
      <c r="G916" s="30"/>
    </row>
    <row r="917" ht="15.75" customHeight="1">
      <c r="D917" s="28"/>
      <c r="E917" s="29"/>
      <c r="G917" s="30"/>
    </row>
    <row r="918" ht="15.75" customHeight="1">
      <c r="D918" s="28"/>
      <c r="E918" s="29"/>
      <c r="G918" s="30"/>
    </row>
    <row r="919" ht="15.75" customHeight="1">
      <c r="D919" s="28"/>
      <c r="E919" s="29"/>
      <c r="G919" s="30"/>
    </row>
    <row r="920" ht="15.75" customHeight="1">
      <c r="D920" s="28"/>
      <c r="E920" s="29"/>
      <c r="G920" s="30"/>
    </row>
    <row r="921" ht="15.75" customHeight="1">
      <c r="D921" s="28"/>
      <c r="E921" s="29"/>
      <c r="G921" s="30"/>
    </row>
    <row r="922" ht="15.75" customHeight="1">
      <c r="D922" s="28"/>
      <c r="E922" s="29"/>
      <c r="G922" s="30"/>
    </row>
    <row r="923" ht="15.75" customHeight="1">
      <c r="D923" s="28"/>
      <c r="E923" s="29"/>
      <c r="G923" s="30"/>
    </row>
    <row r="924" ht="15.75" customHeight="1">
      <c r="D924" s="28"/>
      <c r="E924" s="29"/>
      <c r="G924" s="30"/>
    </row>
    <row r="925" ht="15.75" customHeight="1">
      <c r="D925" s="28"/>
      <c r="E925" s="29"/>
      <c r="G925" s="30"/>
    </row>
    <row r="926" ht="15.75" customHeight="1">
      <c r="D926" s="28"/>
      <c r="E926" s="29"/>
      <c r="G926" s="30"/>
    </row>
    <row r="927" ht="15.75" customHeight="1">
      <c r="D927" s="28"/>
      <c r="E927" s="29"/>
      <c r="G927" s="30"/>
    </row>
    <row r="928" ht="15.75" customHeight="1">
      <c r="D928" s="28"/>
      <c r="E928" s="29"/>
      <c r="G928" s="30"/>
    </row>
    <row r="929" ht="15.75" customHeight="1">
      <c r="D929" s="28"/>
      <c r="E929" s="29"/>
      <c r="G929" s="30"/>
    </row>
    <row r="930" ht="15.75" customHeight="1">
      <c r="D930" s="28"/>
      <c r="E930" s="29"/>
      <c r="G930" s="30"/>
    </row>
    <row r="931" ht="15.75" customHeight="1">
      <c r="D931" s="28"/>
      <c r="E931" s="29"/>
      <c r="G931" s="30"/>
    </row>
    <row r="932" ht="15.75" customHeight="1">
      <c r="D932" s="28"/>
      <c r="E932" s="29"/>
      <c r="G932" s="30"/>
    </row>
    <row r="933" ht="15.75" customHeight="1">
      <c r="D933" s="28"/>
      <c r="E933" s="29"/>
      <c r="G933" s="30"/>
    </row>
    <row r="934" ht="15.75" customHeight="1">
      <c r="D934" s="28"/>
      <c r="E934" s="29"/>
      <c r="G934" s="30"/>
    </row>
    <row r="935" ht="15.75" customHeight="1">
      <c r="D935" s="28"/>
      <c r="E935" s="29"/>
      <c r="G935" s="30"/>
    </row>
    <row r="936" ht="15.75" customHeight="1">
      <c r="D936" s="28"/>
      <c r="E936" s="29"/>
      <c r="G936" s="30"/>
    </row>
    <row r="937" ht="15.75" customHeight="1">
      <c r="D937" s="28"/>
      <c r="E937" s="29"/>
      <c r="G937" s="30"/>
    </row>
    <row r="938" ht="15.75" customHeight="1">
      <c r="D938" s="28"/>
      <c r="E938" s="29"/>
      <c r="G938" s="30"/>
    </row>
    <row r="939" ht="15.75" customHeight="1">
      <c r="D939" s="28"/>
      <c r="E939" s="29"/>
      <c r="G939" s="30"/>
    </row>
    <row r="940" ht="15.75" customHeight="1">
      <c r="D940" s="28"/>
      <c r="E940" s="29"/>
      <c r="G940" s="30"/>
    </row>
    <row r="941" ht="15.75" customHeight="1">
      <c r="D941" s="28"/>
      <c r="E941" s="29"/>
      <c r="G941" s="30"/>
    </row>
    <row r="942" ht="15.75" customHeight="1">
      <c r="D942" s="28"/>
      <c r="E942" s="29"/>
      <c r="G942" s="30"/>
    </row>
    <row r="943" ht="15.75" customHeight="1">
      <c r="D943" s="28"/>
      <c r="E943" s="29"/>
      <c r="G943" s="30"/>
    </row>
    <row r="944" ht="15.75" customHeight="1">
      <c r="D944" s="28"/>
      <c r="E944" s="29"/>
      <c r="G944" s="30"/>
    </row>
    <row r="945" ht="15.75" customHeight="1">
      <c r="D945" s="28"/>
      <c r="E945" s="29"/>
      <c r="G945" s="30"/>
    </row>
    <row r="946" ht="15.75" customHeight="1">
      <c r="D946" s="28"/>
      <c r="E946" s="29"/>
      <c r="G946" s="30"/>
    </row>
    <row r="947" ht="15.75" customHeight="1">
      <c r="D947" s="28"/>
      <c r="E947" s="29"/>
      <c r="G947" s="30"/>
    </row>
    <row r="948" ht="15.75" customHeight="1">
      <c r="D948" s="28"/>
      <c r="E948" s="29"/>
      <c r="G948" s="30"/>
    </row>
    <row r="949" ht="15.75" customHeight="1">
      <c r="D949" s="28"/>
      <c r="E949" s="29"/>
      <c r="G949" s="30"/>
    </row>
    <row r="950" ht="15.75" customHeight="1">
      <c r="D950" s="28"/>
      <c r="E950" s="29"/>
      <c r="G950" s="30"/>
    </row>
    <row r="951" ht="15.75" customHeight="1">
      <c r="D951" s="28"/>
      <c r="E951" s="29"/>
      <c r="G951" s="30"/>
    </row>
    <row r="952" ht="15.75" customHeight="1">
      <c r="D952" s="28"/>
      <c r="E952" s="29"/>
      <c r="G952" s="30"/>
    </row>
    <row r="953" ht="15.75" customHeight="1">
      <c r="D953" s="28"/>
      <c r="E953" s="29"/>
      <c r="G953" s="30"/>
    </row>
    <row r="954" ht="15.75" customHeight="1">
      <c r="D954" s="28"/>
      <c r="E954" s="29"/>
      <c r="G954" s="30"/>
    </row>
    <row r="955" ht="15.75" customHeight="1">
      <c r="D955" s="28"/>
      <c r="E955" s="29"/>
      <c r="G955" s="30"/>
    </row>
    <row r="956" ht="15.75" customHeight="1">
      <c r="D956" s="28"/>
      <c r="E956" s="29"/>
      <c r="G956" s="30"/>
    </row>
    <row r="957" ht="15.75" customHeight="1">
      <c r="D957" s="28"/>
      <c r="E957" s="29"/>
      <c r="G957" s="30"/>
    </row>
    <row r="958" ht="15.75" customHeight="1">
      <c r="D958" s="28"/>
      <c r="E958" s="29"/>
      <c r="G958" s="30"/>
    </row>
    <row r="959" ht="15.75" customHeight="1">
      <c r="D959" s="28"/>
      <c r="E959" s="29"/>
      <c r="G959" s="30"/>
    </row>
    <row r="960" ht="15.75" customHeight="1">
      <c r="D960" s="28"/>
      <c r="E960" s="29"/>
      <c r="G960" s="30"/>
    </row>
    <row r="961" ht="15.75" customHeight="1">
      <c r="D961" s="28"/>
      <c r="E961" s="29"/>
      <c r="G961" s="30"/>
    </row>
    <row r="962" ht="15.75" customHeight="1">
      <c r="D962" s="28"/>
      <c r="E962" s="29"/>
      <c r="G962" s="30"/>
    </row>
    <row r="963" ht="15.75" customHeight="1">
      <c r="D963" s="28"/>
      <c r="E963" s="29"/>
      <c r="G963" s="30"/>
    </row>
    <row r="964" ht="15.75" customHeight="1">
      <c r="D964" s="28"/>
      <c r="E964" s="29"/>
      <c r="G964" s="30"/>
    </row>
    <row r="965" ht="15.75" customHeight="1">
      <c r="D965" s="28"/>
      <c r="E965" s="29"/>
      <c r="G965" s="30"/>
    </row>
    <row r="966" ht="15.75" customHeight="1">
      <c r="D966" s="28"/>
      <c r="E966" s="29"/>
      <c r="G966" s="30"/>
    </row>
    <row r="967" ht="15.75" customHeight="1">
      <c r="D967" s="28"/>
      <c r="E967" s="29"/>
      <c r="G967" s="30"/>
    </row>
    <row r="968" ht="15.75" customHeight="1">
      <c r="D968" s="28"/>
      <c r="E968" s="29"/>
      <c r="G968" s="30"/>
    </row>
    <row r="969" ht="15.75" customHeight="1">
      <c r="D969" s="28"/>
      <c r="E969" s="29"/>
      <c r="G969" s="30"/>
    </row>
    <row r="970" ht="15.75" customHeight="1">
      <c r="D970" s="28"/>
      <c r="E970" s="29"/>
      <c r="G970" s="30"/>
    </row>
    <row r="971" ht="15.75" customHeight="1">
      <c r="D971" s="28"/>
      <c r="E971" s="29"/>
      <c r="G971" s="30"/>
    </row>
    <row r="972" ht="15.75" customHeight="1">
      <c r="D972" s="28"/>
      <c r="E972" s="29"/>
      <c r="G972" s="30"/>
    </row>
    <row r="973" ht="15.75" customHeight="1">
      <c r="D973" s="28"/>
      <c r="E973" s="29"/>
      <c r="G973" s="30"/>
    </row>
    <row r="974" ht="15.75" customHeight="1">
      <c r="D974" s="28"/>
      <c r="E974" s="29"/>
      <c r="G974" s="30"/>
    </row>
    <row r="975" ht="15.75" customHeight="1">
      <c r="D975" s="28"/>
      <c r="E975" s="29"/>
      <c r="G975" s="30"/>
    </row>
    <row r="976" ht="15.75" customHeight="1">
      <c r="D976" s="28"/>
      <c r="E976" s="29"/>
      <c r="G976" s="30"/>
    </row>
    <row r="977" ht="15.75" customHeight="1">
      <c r="D977" s="28"/>
      <c r="E977" s="29"/>
      <c r="G977" s="30"/>
    </row>
    <row r="978" ht="15.75" customHeight="1">
      <c r="D978" s="28"/>
      <c r="E978" s="29"/>
      <c r="G978" s="30"/>
    </row>
    <row r="979" ht="15.75" customHeight="1">
      <c r="D979" s="28"/>
      <c r="E979" s="29"/>
      <c r="G979" s="30"/>
    </row>
    <row r="980" ht="15.75" customHeight="1">
      <c r="D980" s="28"/>
      <c r="E980" s="29"/>
      <c r="G980" s="30"/>
    </row>
    <row r="981" ht="15.75" customHeight="1">
      <c r="D981" s="28"/>
      <c r="E981" s="29"/>
      <c r="G981" s="30"/>
    </row>
    <row r="982" ht="15.75" customHeight="1">
      <c r="D982" s="28"/>
      <c r="E982" s="29"/>
      <c r="G982" s="30"/>
    </row>
    <row r="983" ht="15.75" customHeight="1">
      <c r="D983" s="28"/>
      <c r="E983" s="29"/>
      <c r="G983" s="30"/>
    </row>
    <row r="984" ht="15.75" customHeight="1">
      <c r="D984" s="28"/>
      <c r="E984" s="29"/>
      <c r="G984" s="30"/>
    </row>
    <row r="985" ht="15.75" customHeight="1">
      <c r="D985" s="28"/>
      <c r="E985" s="29"/>
      <c r="G985" s="30"/>
    </row>
    <row r="986" ht="15.75" customHeight="1">
      <c r="D986" s="28"/>
      <c r="E986" s="29"/>
      <c r="G986" s="30"/>
    </row>
    <row r="987" ht="15.75" customHeight="1">
      <c r="D987" s="28"/>
      <c r="E987" s="29"/>
      <c r="G987" s="30"/>
    </row>
    <row r="988" ht="15.75" customHeight="1">
      <c r="D988" s="28"/>
      <c r="E988" s="29"/>
      <c r="G988" s="30"/>
    </row>
    <row r="989" ht="15.75" customHeight="1">
      <c r="D989" s="28"/>
      <c r="E989" s="29"/>
      <c r="G989" s="30"/>
    </row>
    <row r="990" ht="15.75" customHeight="1">
      <c r="D990" s="28"/>
      <c r="E990" s="29"/>
      <c r="G990" s="30"/>
    </row>
    <row r="991" ht="15.75" customHeight="1">
      <c r="D991" s="28"/>
      <c r="E991" s="29"/>
      <c r="G991" s="30"/>
    </row>
    <row r="992" ht="15.75" customHeight="1">
      <c r="D992" s="28"/>
      <c r="E992" s="29"/>
      <c r="G992" s="30"/>
    </row>
    <row r="993" ht="15.75" customHeight="1">
      <c r="D993" s="28"/>
      <c r="E993" s="29"/>
      <c r="G993" s="30"/>
    </row>
    <row r="994" ht="15.75" customHeight="1">
      <c r="D994" s="28"/>
      <c r="E994" s="29"/>
      <c r="G994" s="30"/>
    </row>
    <row r="995" ht="15.75" customHeight="1">
      <c r="D995" s="28"/>
      <c r="E995" s="29"/>
      <c r="G995" s="30"/>
    </row>
    <row r="996" ht="15.75" customHeight="1">
      <c r="D996" s="28"/>
      <c r="E996" s="29"/>
      <c r="G996" s="30"/>
    </row>
    <row r="997" ht="15.75" customHeight="1">
      <c r="D997" s="28"/>
      <c r="E997" s="29"/>
      <c r="G997" s="30"/>
    </row>
    <row r="998" ht="15.75" customHeight="1">
      <c r="D998" s="28"/>
      <c r="E998" s="29"/>
      <c r="G998" s="30"/>
    </row>
    <row r="999" ht="15.75" customHeight="1">
      <c r="D999" s="28"/>
      <c r="E999" s="29"/>
      <c r="G999" s="30"/>
    </row>
    <row r="1000" ht="15.75" customHeight="1">
      <c r="D1000" s="28"/>
      <c r="E1000" s="29"/>
      <c r="G1000" s="30"/>
    </row>
    <row r="1001" ht="15.75" customHeight="1">
      <c r="D1001" s="28"/>
      <c r="E1001" s="29"/>
      <c r="G1001" s="30"/>
    </row>
    <row r="1002" ht="15.75" customHeight="1">
      <c r="D1002" s="28"/>
      <c r="E1002" s="29"/>
      <c r="G1002" s="30"/>
    </row>
    <row r="1003" ht="15.75" customHeight="1">
      <c r="D1003" s="28"/>
      <c r="E1003" s="29"/>
      <c r="G1003" s="30"/>
    </row>
    <row r="1004" ht="15.75" customHeight="1">
      <c r="D1004" s="28"/>
      <c r="E1004" s="29"/>
      <c r="G1004" s="30"/>
    </row>
    <row r="1005" ht="15.75" customHeight="1">
      <c r="D1005" s="28"/>
      <c r="E1005" s="29"/>
      <c r="G1005" s="30"/>
    </row>
    <row r="1006" ht="15.75" customHeight="1">
      <c r="D1006" s="28"/>
      <c r="E1006" s="29"/>
      <c r="G1006" s="30"/>
    </row>
    <row r="1007" ht="15.75" customHeight="1">
      <c r="D1007" s="28"/>
      <c r="E1007" s="29"/>
      <c r="G1007" s="30"/>
    </row>
    <row r="1008" ht="15.75" customHeight="1">
      <c r="D1008" s="28"/>
      <c r="E1008" s="29"/>
      <c r="G1008" s="30"/>
    </row>
    <row r="1009" ht="15.75" customHeight="1">
      <c r="D1009" s="28"/>
      <c r="E1009" s="29"/>
      <c r="G1009" s="30"/>
    </row>
    <row r="1010" ht="15.75" customHeight="1">
      <c r="D1010" s="28"/>
      <c r="E1010" s="29"/>
      <c r="G1010" s="30"/>
    </row>
    <row r="1011" ht="15.75" customHeight="1">
      <c r="D1011" s="28"/>
      <c r="E1011" s="29"/>
      <c r="G1011" s="30"/>
    </row>
    <row r="1012" ht="15.75" customHeight="1">
      <c r="D1012" s="28"/>
      <c r="E1012" s="29"/>
      <c r="G1012" s="30"/>
    </row>
    <row r="1013" ht="15.75" customHeight="1">
      <c r="D1013" s="28"/>
      <c r="E1013" s="29"/>
      <c r="G1013" s="3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2025-06-05T19:37:37Z</dcterms:created>
  <dc:creator>edwin.uribe</dc:creator>
</cp:coreProperties>
</file>