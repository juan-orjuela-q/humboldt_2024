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410 Conservacion Sirap caribe\410 insumos\"/>
    </mc:Choice>
  </mc:AlternateContent>
  <xr:revisionPtr revIDLastSave="0" documentId="13_ncr:1_{243C0204-52DA-43D9-8369-1CAFD487F73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alida 1" sheetId="1" r:id="rId1"/>
    <sheet name="Salida 2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L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H58" i="1"/>
  <c r="D58" i="1"/>
  <c r="H57" i="1"/>
  <c r="F57" i="1"/>
  <c r="D57" i="1"/>
  <c r="H56" i="1"/>
  <c r="F56" i="1"/>
  <c r="D56" i="1"/>
  <c r="H55" i="1"/>
  <c r="F55" i="1"/>
  <c r="D55" i="1"/>
  <c r="H53" i="1"/>
  <c r="F53" i="1"/>
  <c r="D53" i="1"/>
  <c r="H50" i="1"/>
  <c r="F50" i="1"/>
  <c r="D50" i="1"/>
  <c r="H49" i="1"/>
  <c r="F49" i="1"/>
  <c r="D49" i="1"/>
  <c r="H48" i="1"/>
  <c r="F48" i="1"/>
  <c r="D48" i="1"/>
  <c r="H46" i="1"/>
  <c r="F46" i="1"/>
  <c r="D46" i="1"/>
  <c r="H44" i="1"/>
  <c r="F44" i="1"/>
  <c r="D44" i="1"/>
  <c r="H43" i="1"/>
  <c r="F43" i="1"/>
  <c r="D43" i="1"/>
  <c r="H42" i="1"/>
  <c r="F42" i="1"/>
  <c r="D42" i="1"/>
  <c r="H41" i="1"/>
  <c r="F41" i="1"/>
  <c r="D41" i="1"/>
  <c r="H40" i="1"/>
  <c r="F40" i="1"/>
  <c r="D40" i="1"/>
  <c r="H37" i="1"/>
  <c r="F37" i="1"/>
  <c r="D37" i="1"/>
  <c r="H35" i="1"/>
  <c r="F35" i="1"/>
  <c r="D35" i="1"/>
  <c r="H34" i="1"/>
  <c r="F34" i="1"/>
  <c r="D34" i="1"/>
  <c r="E27" i="1"/>
  <c r="D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G3" i="1"/>
  <c r="F3" i="1"/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I3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F27" i="1"/>
  <c r="H27" i="1"/>
  <c r="G27" i="1"/>
  <c r="I27" i="1"/>
</calcChain>
</file>

<file path=xl/sharedStrings.xml><?xml version="1.0" encoding="utf-8"?>
<sst xmlns="http://schemas.openxmlformats.org/spreadsheetml/2006/main" count="92" uniqueCount="55">
  <si>
    <t>Acumulado</t>
  </si>
  <si>
    <t>AÑO</t>
  </si>
  <si>
    <t>NOMBRE</t>
  </si>
  <si>
    <t>Region</t>
  </si>
  <si>
    <t>TERRESTRE</t>
  </si>
  <si>
    <t>MARINA</t>
  </si>
  <si>
    <t>TOTAL</t>
  </si>
  <si>
    <t>Área Costera (ha)</t>
  </si>
  <si>
    <t>Área Marina (ha)</t>
  </si>
  <si>
    <t>SUM de area total (ha)</t>
  </si>
  <si>
    <t>% representividad cada AMP</t>
  </si>
  <si>
    <t>% DE REPRES. ACUMULADO</t>
  </si>
  <si>
    <t xml:space="preserve">PNN Sierra Nevada de Santa Marta </t>
  </si>
  <si>
    <t>Caribe</t>
  </si>
  <si>
    <t xml:space="preserve">PNN Tayrona </t>
  </si>
  <si>
    <t>Vía Parque Isla de Salamanca</t>
  </si>
  <si>
    <t xml:space="preserve">SFF Los Flamencos </t>
  </si>
  <si>
    <t xml:space="preserve">SFF Ciénaga Grande de Santa Marta </t>
  </si>
  <si>
    <t xml:space="preserve">PNN Corales del Rosario y San Bernardo </t>
  </si>
  <si>
    <t xml:space="preserve">PNN Old Providence-McBean Lagoon  </t>
  </si>
  <si>
    <t xml:space="preserve"> Jhonny Cay Regional Park</t>
  </si>
  <si>
    <t xml:space="preserve"> PNN El Corchal Mono Hernández </t>
  </si>
  <si>
    <t>DNMI AMP SeaFlower</t>
  </si>
  <si>
    <t>DMI Área de manglar de la Bahía de Cispatá y sector aledaño del delta estuarino del Río Sinú</t>
  </si>
  <si>
    <t xml:space="preserve">PNR Sistema manglárico del sector de la boca Guacamaya </t>
  </si>
  <si>
    <t xml:space="preserve">DMI Ecosistema de manglar y lagunar de la Ciénaga de la Caimanera </t>
  </si>
  <si>
    <t>DMI Ensenada Río Negro, los bajos aledaños, la Ciénaga de la Marimonda y Salado</t>
  </si>
  <si>
    <t>PNR Humedales del Río León y Suriquí</t>
  </si>
  <si>
    <t>DRMI Musichi</t>
  </si>
  <si>
    <t>DRMI La Playona - Loma de la Caleta</t>
  </si>
  <si>
    <t xml:space="preserve"> PNN Corales de profundidad</t>
  </si>
  <si>
    <t>SF Acandí, Playón y Playona</t>
  </si>
  <si>
    <t>DRMI Lago Azul-los Manatíes</t>
  </si>
  <si>
    <t>PNN Bahía Portete - Kaurrele</t>
  </si>
  <si>
    <t>DRMI Delta del Río Ranchería</t>
  </si>
  <si>
    <t>DMI-Pastos Marinos Sawäirü</t>
  </si>
  <si>
    <t>RN Cordillera Submarina Beata</t>
  </si>
  <si>
    <t>Ampliaciones_Runap_sin_especificar</t>
  </si>
  <si>
    <t># Áreas</t>
  </si>
  <si>
    <t>Área Marina (ha) suma cob</t>
  </si>
  <si>
    <t>Total (ha) suma cob</t>
  </si>
  <si>
    <t>Esto me parece que esta sobreestimando</t>
  </si>
  <si>
    <t>Mayor Lógica</t>
  </si>
  <si>
    <t>Año</t>
  </si>
  <si>
    <t>AMP declaradas</t>
  </si>
  <si>
    <t>Cambio en la media de representatividad ecológica</t>
  </si>
  <si>
    <t>Somero</t>
  </si>
  <si>
    <t>Profundo</t>
  </si>
  <si>
    <t>SIRAP - Caribe</t>
  </si>
  <si>
    <t>Área costera (ha)</t>
  </si>
  <si>
    <t>Área marina (ha)</t>
  </si>
  <si>
    <t>Total (ha)</t>
  </si>
  <si>
    <t>Número de áreas marinas protegidas declaradas</t>
  </si>
  <si>
    <t>Ámbito de gestión nacional</t>
  </si>
  <si>
    <t xml:space="preserve">Ámbito de gestión regional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</si>
</sst>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rgb="FF00206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3" borderId="0" xfId="0" applyFill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Acumulado</a:t>
            </a:r>
            <a:r>
              <a:rPr lang="es-CO" baseline="0"/>
              <a:t> (ha) AMP Caribe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'Salida 1'!$G$2</c:f>
              <c:strCache>
                <c:ptCount val="1"/>
                <c:pt idx="0">
                  <c:v>Área Costera (ha)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'Salida 1'!$A$3:$A$26</c:f>
              <c:numCache>
                <c:formatCode>General</c:formatCode>
                <c:ptCount val="24"/>
                <c:pt idx="0">
                  <c:v>1964</c:v>
                </c:pt>
                <c:pt idx="1">
                  <c:v>1969</c:v>
                </c:pt>
                <c:pt idx="2">
                  <c:v>1969</c:v>
                </c:pt>
                <c:pt idx="3">
                  <c:v>1977</c:v>
                </c:pt>
                <c:pt idx="4">
                  <c:v>1977</c:v>
                </c:pt>
                <c:pt idx="5">
                  <c:v>1977</c:v>
                </c:pt>
                <c:pt idx="6">
                  <c:v>1995</c:v>
                </c:pt>
                <c:pt idx="7">
                  <c:v>2001</c:v>
                </c:pt>
                <c:pt idx="8">
                  <c:v>2002</c:v>
                </c:pt>
                <c:pt idx="9">
                  <c:v>2005</c:v>
                </c:pt>
                <c:pt idx="10">
                  <c:v>2006</c:v>
                </c:pt>
                <c:pt idx="11">
                  <c:v>2008</c:v>
                </c:pt>
                <c:pt idx="12">
                  <c:v>2008</c:v>
                </c:pt>
                <c:pt idx="13">
                  <c:v>2009</c:v>
                </c:pt>
                <c:pt idx="14">
                  <c:v>2009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2014</c:v>
                </c:pt>
                <c:pt idx="21">
                  <c:v>2014</c:v>
                </c:pt>
                <c:pt idx="22">
                  <c:v>2018</c:v>
                </c:pt>
                <c:pt idx="23">
                  <c:v>2022</c:v>
                </c:pt>
              </c:numCache>
            </c:numRef>
          </c:xVal>
          <c:yVal>
            <c:numRef>
              <c:f>'Salida 1'!$G$3:$G$27</c:f>
              <c:numCache>
                <c:formatCode>General</c:formatCode>
                <c:ptCount val="25"/>
                <c:pt idx="0">
                  <c:v>383000</c:v>
                </c:pt>
                <c:pt idx="1">
                  <c:v>391056.99</c:v>
                </c:pt>
                <c:pt idx="2">
                  <c:v>418372.45999999996</c:v>
                </c:pt>
                <c:pt idx="3">
                  <c:v>425372.45999999996</c:v>
                </c:pt>
                <c:pt idx="4">
                  <c:v>452182.45999999996</c:v>
                </c:pt>
                <c:pt idx="5">
                  <c:v>471688.45999999996</c:v>
                </c:pt>
                <c:pt idx="6">
                  <c:v>471778.14999999997</c:v>
                </c:pt>
                <c:pt idx="7">
                  <c:v>471783.44999999995</c:v>
                </c:pt>
                <c:pt idx="8">
                  <c:v>475633.44999999995</c:v>
                </c:pt>
                <c:pt idx="9">
                  <c:v>475633.44999999995</c:v>
                </c:pt>
                <c:pt idx="10">
                  <c:v>502804.44999999995</c:v>
                </c:pt>
                <c:pt idx="11">
                  <c:v>506383.24999999994</c:v>
                </c:pt>
                <c:pt idx="12">
                  <c:v>508508.24999999994</c:v>
                </c:pt>
                <c:pt idx="13">
                  <c:v>534243.25</c:v>
                </c:pt>
                <c:pt idx="14">
                  <c:v>540426.14</c:v>
                </c:pt>
                <c:pt idx="15">
                  <c:v>541920.54</c:v>
                </c:pt>
                <c:pt idx="16">
                  <c:v>550650.82000000007</c:v>
                </c:pt>
                <c:pt idx="17">
                  <c:v>550650.82000000007</c:v>
                </c:pt>
                <c:pt idx="18">
                  <c:v>550650.82000000007</c:v>
                </c:pt>
                <c:pt idx="19">
                  <c:v>580650.82000000007</c:v>
                </c:pt>
                <c:pt idx="20">
                  <c:v>583343.62000000011</c:v>
                </c:pt>
                <c:pt idx="21">
                  <c:v>586944.62000000011</c:v>
                </c:pt>
                <c:pt idx="22">
                  <c:v>586944.62000000011</c:v>
                </c:pt>
                <c:pt idx="23">
                  <c:v>586944.62000000011</c:v>
                </c:pt>
                <c:pt idx="24">
                  <c:v>761599.12230000016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2-4D00-90B7-CF3E150F3062}"/>
            </c:ext>
          </c:extLst>
        </c:ser>
        <c:ser>
          <c:idx val="1"/>
          <c:order val="1"/>
          <c:tx>
            <c:strRef>
              <c:f>'Salida 1'!$H$2</c:f>
              <c:strCache>
                <c:ptCount val="1"/>
                <c:pt idx="0">
                  <c:v>Área Marina (ha)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'Salida 1'!$A$3:$A$26</c:f>
              <c:numCache>
                <c:formatCode>General</c:formatCode>
                <c:ptCount val="24"/>
                <c:pt idx="0">
                  <c:v>1964</c:v>
                </c:pt>
                <c:pt idx="1">
                  <c:v>1969</c:v>
                </c:pt>
                <c:pt idx="2">
                  <c:v>1969</c:v>
                </c:pt>
                <c:pt idx="3">
                  <c:v>1977</c:v>
                </c:pt>
                <c:pt idx="4">
                  <c:v>1977</c:v>
                </c:pt>
                <c:pt idx="5">
                  <c:v>1977</c:v>
                </c:pt>
                <c:pt idx="6">
                  <c:v>1995</c:v>
                </c:pt>
                <c:pt idx="7">
                  <c:v>2001</c:v>
                </c:pt>
                <c:pt idx="8">
                  <c:v>2002</c:v>
                </c:pt>
                <c:pt idx="9">
                  <c:v>2005</c:v>
                </c:pt>
                <c:pt idx="10">
                  <c:v>2006</c:v>
                </c:pt>
                <c:pt idx="11">
                  <c:v>2008</c:v>
                </c:pt>
                <c:pt idx="12">
                  <c:v>2008</c:v>
                </c:pt>
                <c:pt idx="13">
                  <c:v>2009</c:v>
                </c:pt>
                <c:pt idx="14">
                  <c:v>2009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2014</c:v>
                </c:pt>
                <c:pt idx="21">
                  <c:v>2014</c:v>
                </c:pt>
                <c:pt idx="22">
                  <c:v>2018</c:v>
                </c:pt>
                <c:pt idx="23">
                  <c:v>2022</c:v>
                </c:pt>
              </c:numCache>
            </c:numRef>
          </c:xVal>
          <c:yVal>
            <c:numRef>
              <c:f>'Salida 1'!$H$3:$H$27</c:f>
              <c:numCache>
                <c:formatCode>General</c:formatCode>
                <c:ptCount val="25"/>
                <c:pt idx="0">
                  <c:v>0</c:v>
                </c:pt>
                <c:pt idx="1">
                  <c:v>6943.01</c:v>
                </c:pt>
                <c:pt idx="2">
                  <c:v>35827.54</c:v>
                </c:pt>
                <c:pt idx="3">
                  <c:v>35827.54</c:v>
                </c:pt>
                <c:pt idx="4">
                  <c:v>35827.54</c:v>
                </c:pt>
                <c:pt idx="5">
                  <c:v>136321.54</c:v>
                </c:pt>
                <c:pt idx="6">
                  <c:v>137847.83000000002</c:v>
                </c:pt>
                <c:pt idx="7">
                  <c:v>137886.73000000001</c:v>
                </c:pt>
                <c:pt idx="8">
                  <c:v>137886.73000000001</c:v>
                </c:pt>
                <c:pt idx="9">
                  <c:v>6639586.7300000004</c:v>
                </c:pt>
                <c:pt idx="10">
                  <c:v>6639586.7300000004</c:v>
                </c:pt>
                <c:pt idx="11">
                  <c:v>6639586.7300000004</c:v>
                </c:pt>
                <c:pt idx="12">
                  <c:v>6639586.7300000004</c:v>
                </c:pt>
                <c:pt idx="13">
                  <c:v>6644611.7300000004</c:v>
                </c:pt>
                <c:pt idx="14">
                  <c:v>6644611.7300000004</c:v>
                </c:pt>
                <c:pt idx="15">
                  <c:v>6644611.7300000004</c:v>
                </c:pt>
                <c:pt idx="16">
                  <c:v>6644611.7300000004</c:v>
                </c:pt>
                <c:pt idx="17">
                  <c:v>6786803.8800000008</c:v>
                </c:pt>
                <c:pt idx="18">
                  <c:v>6813636.5900000008</c:v>
                </c:pt>
                <c:pt idx="19">
                  <c:v>6813636.5900000008</c:v>
                </c:pt>
                <c:pt idx="20">
                  <c:v>6825023.790000001</c:v>
                </c:pt>
                <c:pt idx="21">
                  <c:v>6825023.790000001</c:v>
                </c:pt>
                <c:pt idx="22">
                  <c:v>6892200.4400000013</c:v>
                </c:pt>
                <c:pt idx="23">
                  <c:v>10204747.440000001</c:v>
                </c:pt>
                <c:pt idx="24">
                  <c:v>10228992.806700002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2-4D00-90B7-CF3E150F3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645104"/>
        <c:axId val="1191635952"/>
      </c:scatterChart>
      <c:valAx>
        <c:axId val="1191645104"/>
        <c:scaling>
          <c:orientation val="minMax"/>
          <c:max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layout>
            <c:manualLayout>
              <c:xMode val="edge"/>
              <c:yMode val="edge"/>
              <c:x val="0.5455696900564635"/>
              <c:y val="0.84586027346766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635952"/>
        <c:crosses val="autoZero"/>
        <c:crossBetween val="midCat"/>
        <c:majorUnit val="2"/>
      </c:valAx>
      <c:valAx>
        <c:axId val="11916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</a:t>
                </a:r>
                <a:r>
                  <a:rPr lang="es-CO" baseline="0"/>
                  <a:t> (ha)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164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Acumulado (ha) AMP Caribe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'Salida 1'!$G$2</c:f>
              <c:strCache>
                <c:ptCount val="1"/>
                <c:pt idx="0">
                  <c:v>Área Costera (ha)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'Salida 1'!$A$3:$A$27</c:f>
              <c:numCache>
                <c:formatCode>General</c:formatCode>
                <c:ptCount val="25"/>
                <c:pt idx="0">
                  <c:v>1964</c:v>
                </c:pt>
                <c:pt idx="1">
                  <c:v>1969</c:v>
                </c:pt>
                <c:pt idx="2">
                  <c:v>1969</c:v>
                </c:pt>
                <c:pt idx="3">
                  <c:v>1977</c:v>
                </c:pt>
                <c:pt idx="4">
                  <c:v>1977</c:v>
                </c:pt>
                <c:pt idx="5">
                  <c:v>1977</c:v>
                </c:pt>
                <c:pt idx="6">
                  <c:v>1995</c:v>
                </c:pt>
                <c:pt idx="7">
                  <c:v>2001</c:v>
                </c:pt>
                <c:pt idx="8">
                  <c:v>2002</c:v>
                </c:pt>
                <c:pt idx="9">
                  <c:v>2005</c:v>
                </c:pt>
                <c:pt idx="10">
                  <c:v>2006</c:v>
                </c:pt>
                <c:pt idx="11">
                  <c:v>2008</c:v>
                </c:pt>
                <c:pt idx="12">
                  <c:v>2008</c:v>
                </c:pt>
                <c:pt idx="13">
                  <c:v>2009</c:v>
                </c:pt>
                <c:pt idx="14">
                  <c:v>2009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2014</c:v>
                </c:pt>
                <c:pt idx="21">
                  <c:v>2014</c:v>
                </c:pt>
                <c:pt idx="22">
                  <c:v>2018</c:v>
                </c:pt>
                <c:pt idx="23">
                  <c:v>2022</c:v>
                </c:pt>
                <c:pt idx="24">
                  <c:v>2024</c:v>
                </c:pt>
              </c:numCache>
            </c:numRef>
          </c:xVal>
          <c:yVal>
            <c:numRef>
              <c:f>'Salida 1'!$G$3:$G$27</c:f>
              <c:numCache>
                <c:formatCode>General</c:formatCode>
                <c:ptCount val="25"/>
                <c:pt idx="0">
                  <c:v>383000</c:v>
                </c:pt>
                <c:pt idx="1">
                  <c:v>391056.99</c:v>
                </c:pt>
                <c:pt idx="2">
                  <c:v>418372.45999999996</c:v>
                </c:pt>
                <c:pt idx="3">
                  <c:v>425372.45999999996</c:v>
                </c:pt>
                <c:pt idx="4">
                  <c:v>452182.45999999996</c:v>
                </c:pt>
                <c:pt idx="5">
                  <c:v>471688.45999999996</c:v>
                </c:pt>
                <c:pt idx="6">
                  <c:v>471778.14999999997</c:v>
                </c:pt>
                <c:pt idx="7">
                  <c:v>471783.44999999995</c:v>
                </c:pt>
                <c:pt idx="8">
                  <c:v>475633.44999999995</c:v>
                </c:pt>
                <c:pt idx="9">
                  <c:v>475633.44999999995</c:v>
                </c:pt>
                <c:pt idx="10">
                  <c:v>502804.44999999995</c:v>
                </c:pt>
                <c:pt idx="11">
                  <c:v>506383.24999999994</c:v>
                </c:pt>
                <c:pt idx="12">
                  <c:v>508508.24999999994</c:v>
                </c:pt>
                <c:pt idx="13">
                  <c:v>534243.25</c:v>
                </c:pt>
                <c:pt idx="14">
                  <c:v>540426.14</c:v>
                </c:pt>
                <c:pt idx="15">
                  <c:v>541920.54</c:v>
                </c:pt>
                <c:pt idx="16">
                  <c:v>550650.82000000007</c:v>
                </c:pt>
                <c:pt idx="17">
                  <c:v>550650.82000000007</c:v>
                </c:pt>
                <c:pt idx="18">
                  <c:v>550650.82000000007</c:v>
                </c:pt>
                <c:pt idx="19">
                  <c:v>580650.82000000007</c:v>
                </c:pt>
                <c:pt idx="20">
                  <c:v>583343.62000000011</c:v>
                </c:pt>
                <c:pt idx="21">
                  <c:v>586944.62000000011</c:v>
                </c:pt>
                <c:pt idx="22">
                  <c:v>586944.62000000011</c:v>
                </c:pt>
                <c:pt idx="23">
                  <c:v>586944.62000000011</c:v>
                </c:pt>
                <c:pt idx="24">
                  <c:v>761599.12230000016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7-4A57-A783-E42ED727D844}"/>
            </c:ext>
          </c:extLst>
        </c:ser>
        <c:ser>
          <c:idx val="1"/>
          <c:order val="1"/>
          <c:tx>
            <c:strRef>
              <c:f>'Salida 1'!$H$2</c:f>
              <c:strCache>
                <c:ptCount val="1"/>
                <c:pt idx="0">
                  <c:v>Área Marina (ha)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'Salida 1'!$A$3:$A$27</c:f>
              <c:numCache>
                <c:formatCode>General</c:formatCode>
                <c:ptCount val="25"/>
                <c:pt idx="0">
                  <c:v>1964</c:v>
                </c:pt>
                <c:pt idx="1">
                  <c:v>1969</c:v>
                </c:pt>
                <c:pt idx="2">
                  <c:v>1969</c:v>
                </c:pt>
                <c:pt idx="3">
                  <c:v>1977</c:v>
                </c:pt>
                <c:pt idx="4">
                  <c:v>1977</c:v>
                </c:pt>
                <c:pt idx="5">
                  <c:v>1977</c:v>
                </c:pt>
                <c:pt idx="6">
                  <c:v>1995</c:v>
                </c:pt>
                <c:pt idx="7">
                  <c:v>2001</c:v>
                </c:pt>
                <c:pt idx="8">
                  <c:v>2002</c:v>
                </c:pt>
                <c:pt idx="9">
                  <c:v>2005</c:v>
                </c:pt>
                <c:pt idx="10">
                  <c:v>2006</c:v>
                </c:pt>
                <c:pt idx="11">
                  <c:v>2008</c:v>
                </c:pt>
                <c:pt idx="12">
                  <c:v>2008</c:v>
                </c:pt>
                <c:pt idx="13">
                  <c:v>2009</c:v>
                </c:pt>
                <c:pt idx="14">
                  <c:v>2009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2014</c:v>
                </c:pt>
                <c:pt idx="21">
                  <c:v>2014</c:v>
                </c:pt>
                <c:pt idx="22">
                  <c:v>2018</c:v>
                </c:pt>
                <c:pt idx="23">
                  <c:v>2022</c:v>
                </c:pt>
                <c:pt idx="24">
                  <c:v>2024</c:v>
                </c:pt>
              </c:numCache>
            </c:numRef>
          </c:xVal>
          <c:yVal>
            <c:numRef>
              <c:f>'Salida 1'!$H$3:$H$27</c:f>
              <c:numCache>
                <c:formatCode>General</c:formatCode>
                <c:ptCount val="25"/>
                <c:pt idx="0">
                  <c:v>0</c:v>
                </c:pt>
                <c:pt idx="1">
                  <c:v>6943.01</c:v>
                </c:pt>
                <c:pt idx="2">
                  <c:v>35827.54</c:v>
                </c:pt>
                <c:pt idx="3">
                  <c:v>35827.54</c:v>
                </c:pt>
                <c:pt idx="4">
                  <c:v>35827.54</c:v>
                </c:pt>
                <c:pt idx="5">
                  <c:v>136321.54</c:v>
                </c:pt>
                <c:pt idx="6">
                  <c:v>137847.83000000002</c:v>
                </c:pt>
                <c:pt idx="7">
                  <c:v>137886.73000000001</c:v>
                </c:pt>
                <c:pt idx="8">
                  <c:v>137886.73000000001</c:v>
                </c:pt>
                <c:pt idx="9">
                  <c:v>6639586.7300000004</c:v>
                </c:pt>
                <c:pt idx="10">
                  <c:v>6639586.7300000004</c:v>
                </c:pt>
                <c:pt idx="11">
                  <c:v>6639586.7300000004</c:v>
                </c:pt>
                <c:pt idx="12">
                  <c:v>6639586.7300000004</c:v>
                </c:pt>
                <c:pt idx="13">
                  <c:v>6644611.7300000004</c:v>
                </c:pt>
                <c:pt idx="14">
                  <c:v>6644611.7300000004</c:v>
                </c:pt>
                <c:pt idx="15">
                  <c:v>6644611.7300000004</c:v>
                </c:pt>
                <c:pt idx="16">
                  <c:v>6644611.7300000004</c:v>
                </c:pt>
                <c:pt idx="17">
                  <c:v>6786803.8800000008</c:v>
                </c:pt>
                <c:pt idx="18">
                  <c:v>6813636.5900000008</c:v>
                </c:pt>
                <c:pt idx="19">
                  <c:v>6813636.5900000008</c:v>
                </c:pt>
                <c:pt idx="20">
                  <c:v>6825023.790000001</c:v>
                </c:pt>
                <c:pt idx="21">
                  <c:v>6825023.790000001</c:v>
                </c:pt>
                <c:pt idx="22">
                  <c:v>6892200.4400000013</c:v>
                </c:pt>
                <c:pt idx="23">
                  <c:v>10204747.440000001</c:v>
                </c:pt>
                <c:pt idx="24">
                  <c:v>10228992.806700002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57-4A57-A783-E42ED727D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87840"/>
        <c:axId val="398785760"/>
      </c:scatterChart>
      <c:valAx>
        <c:axId val="398787840"/>
        <c:scaling>
          <c:orientation val="minMax"/>
          <c:max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layout>
            <c:manualLayout>
              <c:xMode val="edge"/>
              <c:yMode val="edge"/>
              <c:x val="0.54788651418572676"/>
              <c:y val="0.836496936891311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5760"/>
        <c:crosses val="autoZero"/>
        <c:crossBetween val="midCat"/>
        <c:majorUnit val="2"/>
      </c:valAx>
      <c:valAx>
        <c:axId val="3987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Acumulado (ha) AMP Caribe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'Salida 1'!$G$2</c:f>
              <c:strCache>
                <c:ptCount val="1"/>
                <c:pt idx="0">
                  <c:v>Área Costera (ha)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cat>
            <c:numRef>
              <c:f>'Salida 1'!$A$3:$A$27</c:f>
              <c:numCache>
                <c:formatCode>General</c:formatCode>
                <c:ptCount val="25"/>
                <c:pt idx="0">
                  <c:v>1964</c:v>
                </c:pt>
                <c:pt idx="1">
                  <c:v>1969</c:v>
                </c:pt>
                <c:pt idx="2">
                  <c:v>1969</c:v>
                </c:pt>
                <c:pt idx="3">
                  <c:v>1977</c:v>
                </c:pt>
                <c:pt idx="4">
                  <c:v>1977</c:v>
                </c:pt>
                <c:pt idx="5">
                  <c:v>1977</c:v>
                </c:pt>
                <c:pt idx="6">
                  <c:v>1995</c:v>
                </c:pt>
                <c:pt idx="7">
                  <c:v>2001</c:v>
                </c:pt>
                <c:pt idx="8">
                  <c:v>2002</c:v>
                </c:pt>
                <c:pt idx="9">
                  <c:v>2005</c:v>
                </c:pt>
                <c:pt idx="10">
                  <c:v>2006</c:v>
                </c:pt>
                <c:pt idx="11">
                  <c:v>2008</c:v>
                </c:pt>
                <c:pt idx="12">
                  <c:v>2008</c:v>
                </c:pt>
                <c:pt idx="13">
                  <c:v>2009</c:v>
                </c:pt>
                <c:pt idx="14">
                  <c:v>2009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2014</c:v>
                </c:pt>
                <c:pt idx="21">
                  <c:v>2014</c:v>
                </c:pt>
                <c:pt idx="22">
                  <c:v>2018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'Salida 1'!$G$3:$G$27</c:f>
              <c:numCache>
                <c:formatCode>General</c:formatCode>
                <c:ptCount val="25"/>
                <c:pt idx="0">
                  <c:v>383000</c:v>
                </c:pt>
                <c:pt idx="1">
                  <c:v>391056.99</c:v>
                </c:pt>
                <c:pt idx="2">
                  <c:v>418372.45999999996</c:v>
                </c:pt>
                <c:pt idx="3">
                  <c:v>425372.45999999996</c:v>
                </c:pt>
                <c:pt idx="4">
                  <c:v>452182.45999999996</c:v>
                </c:pt>
                <c:pt idx="5">
                  <c:v>471688.45999999996</c:v>
                </c:pt>
                <c:pt idx="6">
                  <c:v>471778.14999999997</c:v>
                </c:pt>
                <c:pt idx="7">
                  <c:v>471783.44999999995</c:v>
                </c:pt>
                <c:pt idx="8">
                  <c:v>475633.44999999995</c:v>
                </c:pt>
                <c:pt idx="9">
                  <c:v>475633.44999999995</c:v>
                </c:pt>
                <c:pt idx="10">
                  <c:v>502804.44999999995</c:v>
                </c:pt>
                <c:pt idx="11">
                  <c:v>506383.24999999994</c:v>
                </c:pt>
                <c:pt idx="12">
                  <c:v>508508.24999999994</c:v>
                </c:pt>
                <c:pt idx="13">
                  <c:v>534243.25</c:v>
                </c:pt>
                <c:pt idx="14">
                  <c:v>540426.14</c:v>
                </c:pt>
                <c:pt idx="15">
                  <c:v>541920.54</c:v>
                </c:pt>
                <c:pt idx="16">
                  <c:v>550650.82000000007</c:v>
                </c:pt>
                <c:pt idx="17">
                  <c:v>550650.82000000007</c:v>
                </c:pt>
                <c:pt idx="18">
                  <c:v>550650.82000000007</c:v>
                </c:pt>
                <c:pt idx="19">
                  <c:v>580650.82000000007</c:v>
                </c:pt>
                <c:pt idx="20">
                  <c:v>583343.62000000011</c:v>
                </c:pt>
                <c:pt idx="21">
                  <c:v>586944.62000000011</c:v>
                </c:pt>
                <c:pt idx="22">
                  <c:v>586944.62000000011</c:v>
                </c:pt>
                <c:pt idx="23">
                  <c:v>586944.62000000011</c:v>
                </c:pt>
                <c:pt idx="24">
                  <c:v>761599.12230000016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8-440E-B4A7-5CF251DFB8AB}"/>
            </c:ext>
          </c:extLst>
        </c:ser>
        <c:ser>
          <c:idx val="1"/>
          <c:order val="1"/>
          <c:tx>
            <c:strRef>
              <c:f>'Salida 1'!$H$2</c:f>
              <c:strCache>
                <c:ptCount val="1"/>
                <c:pt idx="0">
                  <c:v>Área Marina (ha)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'Salida 1'!$A$3:$A$27</c:f>
              <c:numCache>
                <c:formatCode>General</c:formatCode>
                <c:ptCount val="25"/>
                <c:pt idx="0">
                  <c:v>1964</c:v>
                </c:pt>
                <c:pt idx="1">
                  <c:v>1969</c:v>
                </c:pt>
                <c:pt idx="2">
                  <c:v>1969</c:v>
                </c:pt>
                <c:pt idx="3">
                  <c:v>1977</c:v>
                </c:pt>
                <c:pt idx="4">
                  <c:v>1977</c:v>
                </c:pt>
                <c:pt idx="5">
                  <c:v>1977</c:v>
                </c:pt>
                <c:pt idx="6">
                  <c:v>1995</c:v>
                </c:pt>
                <c:pt idx="7">
                  <c:v>2001</c:v>
                </c:pt>
                <c:pt idx="8">
                  <c:v>2002</c:v>
                </c:pt>
                <c:pt idx="9">
                  <c:v>2005</c:v>
                </c:pt>
                <c:pt idx="10">
                  <c:v>2006</c:v>
                </c:pt>
                <c:pt idx="11">
                  <c:v>2008</c:v>
                </c:pt>
                <c:pt idx="12">
                  <c:v>2008</c:v>
                </c:pt>
                <c:pt idx="13">
                  <c:v>2009</c:v>
                </c:pt>
                <c:pt idx="14">
                  <c:v>2009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2014</c:v>
                </c:pt>
                <c:pt idx="21">
                  <c:v>2014</c:v>
                </c:pt>
                <c:pt idx="22">
                  <c:v>2018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'Salida 1'!$H$3:$H$27</c:f>
              <c:numCache>
                <c:formatCode>General</c:formatCode>
                <c:ptCount val="25"/>
                <c:pt idx="0">
                  <c:v>0</c:v>
                </c:pt>
                <c:pt idx="1">
                  <c:v>6943.01</c:v>
                </c:pt>
                <c:pt idx="2">
                  <c:v>35827.54</c:v>
                </c:pt>
                <c:pt idx="3">
                  <c:v>35827.54</c:v>
                </c:pt>
                <c:pt idx="4">
                  <c:v>35827.54</c:v>
                </c:pt>
                <c:pt idx="5">
                  <c:v>136321.54</c:v>
                </c:pt>
                <c:pt idx="6">
                  <c:v>137847.83000000002</c:v>
                </c:pt>
                <c:pt idx="7">
                  <c:v>137886.73000000001</c:v>
                </c:pt>
                <c:pt idx="8">
                  <c:v>137886.73000000001</c:v>
                </c:pt>
                <c:pt idx="9">
                  <c:v>6639586.7300000004</c:v>
                </c:pt>
                <c:pt idx="10">
                  <c:v>6639586.7300000004</c:v>
                </c:pt>
                <c:pt idx="11">
                  <c:v>6639586.7300000004</c:v>
                </c:pt>
                <c:pt idx="12">
                  <c:v>6639586.7300000004</c:v>
                </c:pt>
                <c:pt idx="13">
                  <c:v>6644611.7300000004</c:v>
                </c:pt>
                <c:pt idx="14">
                  <c:v>6644611.7300000004</c:v>
                </c:pt>
                <c:pt idx="15">
                  <c:v>6644611.7300000004</c:v>
                </c:pt>
                <c:pt idx="16">
                  <c:v>6644611.7300000004</c:v>
                </c:pt>
                <c:pt idx="17">
                  <c:v>6786803.8800000008</c:v>
                </c:pt>
                <c:pt idx="18">
                  <c:v>6813636.5900000008</c:v>
                </c:pt>
                <c:pt idx="19">
                  <c:v>6813636.5900000008</c:v>
                </c:pt>
                <c:pt idx="20">
                  <c:v>6825023.790000001</c:v>
                </c:pt>
                <c:pt idx="21">
                  <c:v>6825023.790000001</c:v>
                </c:pt>
                <c:pt idx="22">
                  <c:v>6892200.4400000013</c:v>
                </c:pt>
                <c:pt idx="23">
                  <c:v>10204747.440000001</c:v>
                </c:pt>
                <c:pt idx="24">
                  <c:v>10228992.806700002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8-440E-B4A7-5CF251DF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87840"/>
        <c:axId val="398785760"/>
      </c:areaChart>
      <c:catAx>
        <c:axId val="3987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layout>
            <c:manualLayout>
              <c:xMode val="edge"/>
              <c:yMode val="edge"/>
              <c:x val="0.54788651418572676"/>
              <c:y val="0.836496936891311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5760"/>
        <c:crosses val="autoZero"/>
        <c:auto val="1"/>
        <c:lblAlgn val="ctr"/>
        <c:lblOffset val="100"/>
        <c:tickMarkSkip val="1"/>
        <c:noMultiLvlLbl val="0"/>
      </c:catAx>
      <c:valAx>
        <c:axId val="3987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"Sobreestimado" cob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'Salida 1'!$B$61</c:f>
              <c:strCache>
                <c:ptCount val="1"/>
                <c:pt idx="0">
                  <c:v>Año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'Salida 1'!$B$62:$B$78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1'!$B$62:$B$78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D-4F56-85EE-69517FC43636}"/>
            </c:ext>
          </c:extLst>
        </c:ser>
        <c:ser>
          <c:idx val="2"/>
          <c:order val="2"/>
          <c:tx>
            <c:strRef>
              <c:f>'Salida 1'!$F$61</c:f>
              <c:strCache>
                <c:ptCount val="1"/>
                <c:pt idx="0">
                  <c:v>Total (ha) suma cob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'Salida 1'!$B$62:$B$78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1'!$F$62:$F$78</c:f>
              <c:numCache>
                <c:formatCode>General</c:formatCode>
                <c:ptCount val="17"/>
                <c:pt idx="0">
                  <c:v>383000</c:v>
                </c:pt>
                <c:pt idx="1">
                  <c:v>1235200</c:v>
                </c:pt>
                <c:pt idx="2">
                  <c:v>2792420</c:v>
                </c:pt>
                <c:pt idx="3">
                  <c:v>3402045.98</c:v>
                </c:pt>
                <c:pt idx="4">
                  <c:v>4011716.16</c:v>
                </c:pt>
                <c:pt idx="5">
                  <c:v>4625236.34</c:v>
                </c:pt>
                <c:pt idx="6">
                  <c:v>11740456.52</c:v>
                </c:pt>
                <c:pt idx="7">
                  <c:v>18882847.699999999</c:v>
                </c:pt>
                <c:pt idx="8">
                  <c:v>33176912.66</c:v>
                </c:pt>
                <c:pt idx="9">
                  <c:v>47540805.509999998</c:v>
                </c:pt>
                <c:pt idx="10">
                  <c:v>54727337.780000001</c:v>
                </c:pt>
                <c:pt idx="11">
                  <c:v>61922600.329999998</c:v>
                </c:pt>
                <c:pt idx="12">
                  <c:v>84018629.849999994</c:v>
                </c:pt>
                <c:pt idx="13">
                  <c:v>98838965.669999987</c:v>
                </c:pt>
                <c:pt idx="14">
                  <c:v>106318110.72999999</c:v>
                </c:pt>
                <c:pt idx="15">
                  <c:v>117109802.78999999</c:v>
                </c:pt>
                <c:pt idx="16">
                  <c:v>128100394.719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D-4F56-85EE-69517FC4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406656"/>
        <c:axId val="1553407072"/>
      </c:areaChart>
      <c:lineChart>
        <c:grouping val="stacked"/>
        <c:varyColors val="0"/>
        <c:ser>
          <c:idx val="1"/>
          <c:order val="1"/>
          <c:tx>
            <c:strRef>
              <c:f>'Salida 1'!$C$61</c:f>
              <c:strCache>
                <c:ptCount val="1"/>
                <c:pt idx="0">
                  <c:v>AMP declaradas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'Salida 1'!$C$62:$C$78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D-4F56-85EE-69517FC4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191456"/>
        <c:axId val="1060090688"/>
      </c:lineChart>
      <c:catAx>
        <c:axId val="155340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3407072"/>
        <c:crosses val="autoZero"/>
        <c:auto val="1"/>
        <c:lblAlgn val="ctr"/>
        <c:lblOffset val="100"/>
        <c:noMultiLvlLbl val="0"/>
      </c:catAx>
      <c:valAx>
        <c:axId val="1553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3406656"/>
        <c:crosses val="autoZero"/>
        <c:crossBetween val="between"/>
      </c:valAx>
      <c:valAx>
        <c:axId val="10600906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Áreas marinas protegidas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5191456"/>
        <c:crosses val="max"/>
        <c:crossBetween val="between"/>
      </c:valAx>
      <c:catAx>
        <c:axId val="1505191456"/>
        <c:scaling>
          <c:orientation val="minMax"/>
        </c:scaling>
        <c:delete val="1"/>
        <c:axPos val="b"/>
        <c:majorTickMark val="out"/>
        <c:minorTickMark val="none"/>
        <c:tickLblPos val="nextTo"/>
        <c:crossAx val="1060090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AMP</a:t>
            </a:r>
            <a:r>
              <a:rPr lang="es-CO" baseline="0"/>
              <a:t> Marina y Costera - SIRAP Caribe - Total (costero+marino)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'Salida 1'!$L$61</c:f>
              <c:strCache>
                <c:ptCount val="1"/>
                <c:pt idx="0">
                  <c:v>Total (ha)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'Salida 1'!$L$62:$L$78</c:f>
              <c:numCache>
                <c:formatCode>General</c:formatCode>
                <c:ptCount val="17"/>
                <c:pt idx="0">
                  <c:v>383000</c:v>
                </c:pt>
                <c:pt idx="1">
                  <c:v>454200</c:v>
                </c:pt>
                <c:pt idx="2">
                  <c:v>608010</c:v>
                </c:pt>
                <c:pt idx="3">
                  <c:v>609625.98</c:v>
                </c:pt>
                <c:pt idx="4">
                  <c:v>609670.17999999993</c:v>
                </c:pt>
                <c:pt idx="5">
                  <c:v>613520.17999999993</c:v>
                </c:pt>
                <c:pt idx="6">
                  <c:v>7115220.1799999997</c:v>
                </c:pt>
                <c:pt idx="7">
                  <c:v>7142391.1799999997</c:v>
                </c:pt>
                <c:pt idx="8">
                  <c:v>7148094.9799999995</c:v>
                </c:pt>
                <c:pt idx="9">
                  <c:v>7185037.8699999992</c:v>
                </c:pt>
                <c:pt idx="10">
                  <c:v>7186532.2699999996</c:v>
                </c:pt>
                <c:pt idx="11">
                  <c:v>7195262.5499999998</c:v>
                </c:pt>
                <c:pt idx="12">
                  <c:v>7394287.4100000001</c:v>
                </c:pt>
                <c:pt idx="13">
                  <c:v>7411968.4100000001</c:v>
                </c:pt>
                <c:pt idx="14">
                  <c:v>7479145.0600000005</c:v>
                </c:pt>
                <c:pt idx="15">
                  <c:v>10791692.060000001</c:v>
                </c:pt>
                <c:pt idx="16">
                  <c:v>10791692.060000001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8-4F12-8291-412B7EFF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847664"/>
        <c:axId val="1474849744"/>
      </c:areaChart>
      <c:barChart>
        <c:barDir val="col"/>
        <c:grouping val="clustered"/>
        <c:varyColors val="0"/>
        <c:ser>
          <c:idx val="0"/>
          <c:order val="0"/>
          <c:tx>
            <c:strRef>
              <c:f>'Salida 1'!$H$61</c:f>
              <c:strCache>
                <c:ptCount val="1"/>
                <c:pt idx="0">
                  <c:v>Año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'Salida 1'!$H$62:$H$78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1'!$H$62:$H$78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8-4F12-8291-412B7EFF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847664"/>
        <c:axId val="1474849744"/>
      </c:barChart>
      <c:lineChart>
        <c:grouping val="stacked"/>
        <c:varyColors val="0"/>
        <c:ser>
          <c:idx val="1"/>
          <c:order val="1"/>
          <c:tx>
            <c:strRef>
              <c:f>'Salida 1'!$I$61</c:f>
              <c:strCache>
                <c:ptCount val="1"/>
                <c:pt idx="0">
                  <c:v>Número de áreas marinas protegidas declaradas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'Salida 1'!$I$62:$I$78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8-4F12-8291-412B7EFF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787008"/>
        <c:axId val="1474851824"/>
      </c:lineChart>
      <c:catAx>
        <c:axId val="147484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49744"/>
        <c:crosses val="autoZero"/>
        <c:auto val="1"/>
        <c:lblAlgn val="ctr"/>
        <c:lblOffset val="100"/>
        <c:noMultiLvlLbl val="0"/>
      </c:catAx>
      <c:valAx>
        <c:axId val="14748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47664"/>
        <c:crosses val="autoZero"/>
        <c:crossBetween val="between"/>
      </c:valAx>
      <c:valAx>
        <c:axId val="1474851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Áreas marinas protegidas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7008"/>
        <c:crosses val="max"/>
        <c:crossBetween val="between"/>
      </c:valAx>
      <c:catAx>
        <c:axId val="398787008"/>
        <c:scaling>
          <c:orientation val="minMax"/>
        </c:scaling>
        <c:delete val="1"/>
        <c:axPos val="b"/>
        <c:majorTickMark val="out"/>
        <c:minorTickMark val="none"/>
        <c:tickLblPos val="nextTo"/>
        <c:crossAx val="147485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"Sobreestimado" cob marino y terrestre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'Salida 1'!$D$61</c:f>
              <c:strCache>
                <c:ptCount val="1"/>
                <c:pt idx="0">
                  <c:v>Área Costera (ha)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'Salida 1'!$D$62:$D$78</c:f>
              <c:numCache>
                <c:formatCode>General</c:formatCode>
                <c:ptCount val="17"/>
                <c:pt idx="0">
                  <c:v>383000</c:v>
                </c:pt>
                <c:pt idx="1">
                  <c:v>1192429.45</c:v>
                </c:pt>
                <c:pt idx="2">
                  <c:v>2541672.83</c:v>
                </c:pt>
                <c:pt idx="3">
                  <c:v>3013450.98</c:v>
                </c:pt>
                <c:pt idx="4">
                  <c:v>3485234.4299999997</c:v>
                </c:pt>
                <c:pt idx="5">
                  <c:v>3960867.88</c:v>
                </c:pt>
                <c:pt idx="6">
                  <c:v>4436501.33</c:v>
                </c:pt>
                <c:pt idx="7">
                  <c:v>4939305.78</c:v>
                </c:pt>
                <c:pt idx="8">
                  <c:v>5954197.2800000003</c:v>
                </c:pt>
                <c:pt idx="9">
                  <c:v>7028866.6699999999</c:v>
                </c:pt>
                <c:pt idx="10">
                  <c:v>7570787.21</c:v>
                </c:pt>
                <c:pt idx="11">
                  <c:v>8121438.0300000003</c:v>
                </c:pt>
                <c:pt idx="12">
                  <c:v>9803390.4900000002</c:v>
                </c:pt>
                <c:pt idx="13">
                  <c:v>10973678.73</c:v>
                </c:pt>
                <c:pt idx="14">
                  <c:v>11560623.350000001</c:v>
                </c:pt>
                <c:pt idx="15">
                  <c:v>12147567.970000003</c:v>
                </c:pt>
                <c:pt idx="16">
                  <c:v>12909167.092300003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3-4F43-997D-9DC36232B8CA}"/>
            </c:ext>
          </c:extLst>
        </c:ser>
        <c:ser>
          <c:idx val="3"/>
          <c:order val="3"/>
          <c:tx>
            <c:strRef>
              <c:f>'Salida 1'!$E$61</c:f>
              <c:strCache>
                <c:ptCount val="1"/>
                <c:pt idx="0">
                  <c:v>Área Marina (ha) suma cob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'Salida 1'!$E$62:$E$78</c:f>
              <c:numCache>
                <c:formatCode>General</c:formatCode>
                <c:ptCount val="17"/>
                <c:pt idx="0">
                  <c:v>0</c:v>
                </c:pt>
                <c:pt idx="1">
                  <c:v>42770.55</c:v>
                </c:pt>
                <c:pt idx="2">
                  <c:v>250747.17</c:v>
                </c:pt>
                <c:pt idx="3">
                  <c:v>388595</c:v>
                </c:pt>
                <c:pt idx="4">
                  <c:v>526481.73</c:v>
                </c:pt>
                <c:pt idx="5">
                  <c:v>664368.46</c:v>
                </c:pt>
                <c:pt idx="6">
                  <c:v>7303955.1900000004</c:v>
                </c:pt>
                <c:pt idx="7">
                  <c:v>13943541.920000002</c:v>
                </c:pt>
                <c:pt idx="8">
                  <c:v>27222715.380000003</c:v>
                </c:pt>
                <c:pt idx="9">
                  <c:v>40511938.840000004</c:v>
                </c:pt>
                <c:pt idx="10">
                  <c:v>47156550.570000008</c:v>
                </c:pt>
                <c:pt idx="11">
                  <c:v>53801162.300000012</c:v>
                </c:pt>
                <c:pt idx="12">
                  <c:v>74215239.360000014</c:v>
                </c:pt>
                <c:pt idx="13">
                  <c:v>87865286.940000027</c:v>
                </c:pt>
                <c:pt idx="14">
                  <c:v>94757487.380000025</c:v>
                </c:pt>
                <c:pt idx="15">
                  <c:v>104962234.82000002</c:v>
                </c:pt>
                <c:pt idx="16">
                  <c:v>115191227.62670003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3-4F43-997D-9DC36232B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069952"/>
        <c:axId val="1388068704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'Salida 1'!$F$61</c15:sqref>
                        </c15:formulaRef>
                      </c:ext>
                    </c:extLst>
                    <c:strCache>
                      <c:ptCount val="1"/>
                      <c:pt idx="0">
                        <c:v>Total (ha) suma cob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'Salida 1'!$F$62:$F$78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383000</c:v>
                      </c:pt>
                      <c:pt idx="1">
                        <c:v>1235200</c:v>
                      </c:pt>
                      <c:pt idx="2">
                        <c:v>2792420</c:v>
                      </c:pt>
                      <c:pt idx="3">
                        <c:v>3402045.98</c:v>
                      </c:pt>
                      <c:pt idx="4">
                        <c:v>4011716.16</c:v>
                      </c:pt>
                      <c:pt idx="5">
                        <c:v>4625236.34</c:v>
                      </c:pt>
                      <c:pt idx="6">
                        <c:v>11740456.52</c:v>
                      </c:pt>
                      <c:pt idx="7">
                        <c:v>18882847.699999999</c:v>
                      </c:pt>
                      <c:pt idx="8">
                        <c:v>33176912.66</c:v>
                      </c:pt>
                      <c:pt idx="9">
                        <c:v>47540805.509999998</c:v>
                      </c:pt>
                      <c:pt idx="10">
                        <c:v>54727337.780000001</c:v>
                      </c:pt>
                      <c:pt idx="11">
                        <c:v>61922600.329999998</c:v>
                      </c:pt>
                      <c:pt idx="12">
                        <c:v>84018629.849999994</c:v>
                      </c:pt>
                      <c:pt idx="13">
                        <c:v>98838965.669999987</c:v>
                      </c:pt>
                      <c:pt idx="14">
                        <c:v>106318110.72999999</c:v>
                      </c:pt>
                      <c:pt idx="15">
                        <c:v>117109802.78999999</c:v>
                      </c:pt>
                      <c:pt idx="16">
                        <c:v>128100394.719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BC3-4F43-997D-9DC36232B8CA}"/>
                  </c:ext>
                </c:extLst>
              </c15:ser>
            </c15:filteredAreaSeries>
          </c:ext>
        </c:extLst>
      </c:areaChart>
      <c:barChart>
        <c:barDir val="col"/>
        <c:grouping val="clustered"/>
        <c:varyColors val="0"/>
        <c:ser>
          <c:idx val="0"/>
          <c:order val="0"/>
          <c:tx>
            <c:strRef>
              <c:f>'Salida 1'!$B$61</c:f>
              <c:strCache>
                <c:ptCount val="1"/>
                <c:pt idx="0">
                  <c:v>Año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'Salida 1'!$B$62:$B$78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1'!$B$62:$B$78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3-4F43-997D-9DC36232B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069952"/>
        <c:axId val="1388068704"/>
      </c:barChart>
      <c:lineChart>
        <c:grouping val="stacked"/>
        <c:varyColors val="0"/>
        <c:ser>
          <c:idx val="1"/>
          <c:order val="1"/>
          <c:tx>
            <c:strRef>
              <c:f>'Salida 1'!$C$61</c:f>
              <c:strCache>
                <c:ptCount val="1"/>
                <c:pt idx="0">
                  <c:v>AMP declaradas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'Salida 1'!$C$62:$C$78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C3-4F43-997D-9DC36232B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020368"/>
        <c:axId val="1505019120"/>
      </c:lineChart>
      <c:catAx>
        <c:axId val="138806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68704"/>
        <c:crosses val="autoZero"/>
        <c:auto val="1"/>
        <c:lblAlgn val="ctr"/>
        <c:lblOffset val="100"/>
        <c:noMultiLvlLbl val="0"/>
      </c:catAx>
      <c:valAx>
        <c:axId val="13880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69952"/>
        <c:crosses val="autoZero"/>
        <c:crossBetween val="between"/>
      </c:valAx>
      <c:valAx>
        <c:axId val="15050191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Áreas declaradas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5020368"/>
        <c:crosses val="max"/>
        <c:crossBetween val="between"/>
      </c:valAx>
      <c:catAx>
        <c:axId val="1505020368"/>
        <c:scaling>
          <c:orientation val="minMax"/>
        </c:scaling>
        <c:delete val="1"/>
        <c:axPos val="b"/>
        <c:majorTickMark val="out"/>
        <c:minorTickMark val="none"/>
        <c:tickLblPos val="nextTo"/>
        <c:crossAx val="1505019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1"/>
          <c:tx>
            <c:strRef>
              <c:f>'Salida 1'!$J$61</c:f>
              <c:strCache>
                <c:ptCount val="1"/>
                <c:pt idx="0">
                  <c:v>Área costera (ha)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'Salida 1'!$H$62:$H$78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1'!$J$62:$J$78</c:f>
              <c:numCache>
                <c:formatCode>General</c:formatCode>
                <c:ptCount val="17"/>
                <c:pt idx="0">
                  <c:v>383000</c:v>
                </c:pt>
                <c:pt idx="1">
                  <c:v>418372.45999999996</c:v>
                </c:pt>
                <c:pt idx="2">
                  <c:v>471688.45999999996</c:v>
                </c:pt>
                <c:pt idx="3">
                  <c:v>471778.14999999997</c:v>
                </c:pt>
                <c:pt idx="4">
                  <c:v>471783.44999999995</c:v>
                </c:pt>
                <c:pt idx="5">
                  <c:v>475633.44999999995</c:v>
                </c:pt>
                <c:pt idx="6">
                  <c:v>475633.44999999995</c:v>
                </c:pt>
                <c:pt idx="7">
                  <c:v>502804.44999999995</c:v>
                </c:pt>
                <c:pt idx="8">
                  <c:v>508508.24999999994</c:v>
                </c:pt>
                <c:pt idx="9">
                  <c:v>540426.14</c:v>
                </c:pt>
                <c:pt idx="10">
                  <c:v>541920.54</c:v>
                </c:pt>
                <c:pt idx="11">
                  <c:v>550650.82000000007</c:v>
                </c:pt>
                <c:pt idx="12">
                  <c:v>580650.82000000007</c:v>
                </c:pt>
                <c:pt idx="13">
                  <c:v>586944.62000000011</c:v>
                </c:pt>
                <c:pt idx="14">
                  <c:v>586944.62000000011</c:v>
                </c:pt>
                <c:pt idx="15">
                  <c:v>586944.62000000011</c:v>
                </c:pt>
                <c:pt idx="16">
                  <c:v>586944.62000000011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9-48EC-B5B8-9D259316F6E3}"/>
            </c:ext>
          </c:extLst>
        </c:ser>
        <c:ser>
          <c:idx val="3"/>
          <c:order val="2"/>
          <c:tx>
            <c:strRef>
              <c:f>'Salida 1'!$K$61</c:f>
              <c:strCache>
                <c:ptCount val="1"/>
                <c:pt idx="0">
                  <c:v>Área marina (ha)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'Salida 1'!$H$62:$H$78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1'!$K$62:$K$78</c:f>
              <c:numCache>
                <c:formatCode>General</c:formatCode>
                <c:ptCount val="17"/>
                <c:pt idx="0">
                  <c:v>0</c:v>
                </c:pt>
                <c:pt idx="1">
                  <c:v>35827.54</c:v>
                </c:pt>
                <c:pt idx="2">
                  <c:v>136321.54</c:v>
                </c:pt>
                <c:pt idx="3">
                  <c:v>137847.83000000002</c:v>
                </c:pt>
                <c:pt idx="4">
                  <c:v>137886.73000000001</c:v>
                </c:pt>
                <c:pt idx="5">
                  <c:v>137886.73000000001</c:v>
                </c:pt>
                <c:pt idx="6">
                  <c:v>6639586.7300000004</c:v>
                </c:pt>
                <c:pt idx="7">
                  <c:v>6639586.7300000004</c:v>
                </c:pt>
                <c:pt idx="8">
                  <c:v>6639586.7300000004</c:v>
                </c:pt>
                <c:pt idx="9">
                  <c:v>6644611.7300000004</c:v>
                </c:pt>
                <c:pt idx="10">
                  <c:v>6644611.7300000004</c:v>
                </c:pt>
                <c:pt idx="11">
                  <c:v>6644611.7300000004</c:v>
                </c:pt>
                <c:pt idx="12">
                  <c:v>6813636.5900000008</c:v>
                </c:pt>
                <c:pt idx="13">
                  <c:v>6825023.790000001</c:v>
                </c:pt>
                <c:pt idx="14">
                  <c:v>6892200.4400000013</c:v>
                </c:pt>
                <c:pt idx="15">
                  <c:v>10204747.440000001</c:v>
                </c:pt>
                <c:pt idx="16">
                  <c:v>10204747.440000001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9-48EC-B5B8-9D259316F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847248"/>
        <c:axId val="1474850992"/>
        <c:extLst>
          <c:ext xmlns:c15="http://schemas.microsoft.com/office/drawing/2012/chart" uri="{02D57815-91ED-43cb-92C2-25804820EDAC}">
            <c15:filteredArea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'Salida 1'!$L$61</c15:sqref>
                        </c15:formulaRef>
                      </c:ext>
                    </c:extLst>
                    <c:strCache>
                      <c:ptCount val="1"/>
                      <c:pt idx="0">
                        <c:v>Total (ha)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'Salida 1'!$H$62:$H$78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1964</c:v>
                      </c:pt>
                      <c:pt idx="1">
                        <c:v>1969</c:v>
                      </c:pt>
                      <c:pt idx="2">
                        <c:v>1977</c:v>
                      </c:pt>
                      <c:pt idx="3">
                        <c:v>1995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2005</c:v>
                      </c:pt>
                      <c:pt idx="7">
                        <c:v>2006</c:v>
                      </c:pt>
                      <c:pt idx="8">
                        <c:v>2008</c:v>
                      </c:pt>
                      <c:pt idx="9">
                        <c:v>2009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2018</c:v>
                      </c:pt>
                      <c:pt idx="15">
                        <c:v>2022</c:v>
                      </c:pt>
                      <c:pt idx="1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'Salida 1'!$L$62:$L$78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383000</c:v>
                      </c:pt>
                      <c:pt idx="1">
                        <c:v>454200</c:v>
                      </c:pt>
                      <c:pt idx="2">
                        <c:v>608010</c:v>
                      </c:pt>
                      <c:pt idx="3">
                        <c:v>609625.98</c:v>
                      </c:pt>
                      <c:pt idx="4">
                        <c:v>609670.17999999993</c:v>
                      </c:pt>
                      <c:pt idx="5">
                        <c:v>613520.17999999993</c:v>
                      </c:pt>
                      <c:pt idx="6">
                        <c:v>7115220.1799999997</c:v>
                      </c:pt>
                      <c:pt idx="7">
                        <c:v>7142391.1799999997</c:v>
                      </c:pt>
                      <c:pt idx="8">
                        <c:v>7148094.9799999995</c:v>
                      </c:pt>
                      <c:pt idx="9">
                        <c:v>7185037.8699999992</c:v>
                      </c:pt>
                      <c:pt idx="10">
                        <c:v>7186532.2699999996</c:v>
                      </c:pt>
                      <c:pt idx="11">
                        <c:v>7195262.5499999998</c:v>
                      </c:pt>
                      <c:pt idx="12">
                        <c:v>7394287.4100000001</c:v>
                      </c:pt>
                      <c:pt idx="13">
                        <c:v>7411968.4100000001</c:v>
                      </c:pt>
                      <c:pt idx="14">
                        <c:v>7479145.0600000005</c:v>
                      </c:pt>
                      <c:pt idx="15">
                        <c:v>10791692.060000001</c:v>
                      </c:pt>
                      <c:pt idx="16">
                        <c:v>10791692.060000001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FE9-48EC-B5B8-9D259316F6E3}"/>
                  </c:ext>
                </c:extLst>
              </c15:ser>
            </c15:filteredAreaSeries>
          </c:ext>
        </c:extLst>
      </c:areaChart>
      <c:lineChart>
        <c:grouping val="stacked"/>
        <c:varyColors val="0"/>
        <c:ser>
          <c:idx val="1"/>
          <c:order val="0"/>
          <c:tx>
            <c:strRef>
              <c:f>'Salida 1'!$I$61</c:f>
              <c:strCache>
                <c:ptCount val="1"/>
                <c:pt idx="0">
                  <c:v>Número de áreas marinas protegidas declaradas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'Salida 1'!$H$62:$H$78</c:f>
              <c:numCache>
                <c:formatCode>General</c:formatCode>
                <c:ptCount val="17"/>
                <c:pt idx="0">
                  <c:v>1964</c:v>
                </c:pt>
                <c:pt idx="1">
                  <c:v>1969</c:v>
                </c:pt>
                <c:pt idx="2">
                  <c:v>1977</c:v>
                </c:pt>
                <c:pt idx="3">
                  <c:v>1995</c:v>
                </c:pt>
                <c:pt idx="4">
                  <c:v>2001</c:v>
                </c:pt>
                <c:pt idx="5">
                  <c:v>2002</c:v>
                </c:pt>
                <c:pt idx="6">
                  <c:v>2005</c:v>
                </c:pt>
                <c:pt idx="7">
                  <c:v>2006</c:v>
                </c:pt>
                <c:pt idx="8">
                  <c:v>2008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2018</c:v>
                </c:pt>
                <c:pt idx="15">
                  <c:v>2022</c:v>
                </c:pt>
                <c:pt idx="16">
                  <c:v>2024</c:v>
                </c:pt>
              </c:numCache>
            </c:numRef>
          </c:cat>
          <c:val>
            <c:numRef>
              <c:f>'Salida 1'!$I$62:$I$78</c:f>
              <c:numCache>
                <c:formatCode>General</c:formatCode>
                <c:ptCount val="1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20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9-48EC-B5B8-9D259316F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826576"/>
        <c:axId val="1681821168"/>
      </c:lineChart>
      <c:catAx>
        <c:axId val="147484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50992"/>
        <c:crosses val="autoZero"/>
        <c:auto val="1"/>
        <c:lblAlgn val="ctr"/>
        <c:lblOffset val="100"/>
        <c:noMultiLvlLbl val="0"/>
      </c:catAx>
      <c:valAx>
        <c:axId val="14748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 (ha)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4847248"/>
        <c:crosses val="autoZero"/>
        <c:crossBetween val="between"/>
      </c:valAx>
      <c:valAx>
        <c:axId val="168182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Áreas declaradas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1826576"/>
        <c:crosses val="max"/>
        <c:crossBetween val="between"/>
      </c:valAx>
      <c:catAx>
        <c:axId val="1681826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1821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09750401401255"/>
          <c:y val="0.92277274276915056"/>
          <c:w val="0.86790254789228616"/>
          <c:h val="6.0749870316145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'Salida 2'!$B$4</c:f>
              <c:strCache>
                <c:ptCount val="1"/>
                <c:pt idx="0">
                  <c:v>Ámbito de gestión nacional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'Salida 2'!$A$5:$A$7</c:f>
              <c:numCache>
                <c:formatCode>General</c:formatCode>
                <c:ptCount val="3"/>
                <c:pt idx="0">
                  <c:v>2011</c:v>
                </c:pt>
                <c:pt idx="1">
                  <c:v>2022</c:v>
                </c:pt>
                <c:pt idx="2">
                  <c:v>2024</c:v>
                </c:pt>
              </c:numCache>
            </c:numRef>
          </c:xVal>
          <c:yVal>
            <c:numRef>
              <c:f>'Salida 2'!$B$5:$B$7</c:f>
              <c:numCache>
                <c:formatCode>0.00</c:formatCode>
                <c:ptCount val="3"/>
                <c:pt idx="0">
                  <c:v>19.156908972664059</c:v>
                </c:pt>
                <c:pt idx="1">
                  <c:v>22.119700959153853</c:v>
                </c:pt>
                <c:pt idx="2">
                  <c:v>22.119700959153853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7B-44C4-89B5-425EB2AD6F1D}"/>
            </c:ext>
          </c:extLst>
        </c:ser>
        <c:ser>
          <c:idx val="1"/>
          <c:order val="1"/>
          <c:tx>
            <c:strRef>
              <c:f>'Salida 2'!$C$4</c:f>
              <c:strCache>
                <c:ptCount val="1"/>
                <c:pt idx="0">
                  <c:v>Ámbito de gestión regional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'Salida 2'!$A$5:$A$7</c:f>
              <c:numCache>
                <c:formatCode>General</c:formatCode>
                <c:ptCount val="3"/>
                <c:pt idx="0">
                  <c:v>2011</c:v>
                </c:pt>
                <c:pt idx="1">
                  <c:v>2022</c:v>
                </c:pt>
                <c:pt idx="2">
                  <c:v>2024</c:v>
                </c:pt>
              </c:numCache>
            </c:numRef>
          </c:xVal>
          <c:yVal>
            <c:numRef>
              <c:f>'Salida 2'!$C$5:$C$7</c:f>
              <c:numCache>
                <c:formatCode>0.00</c:formatCode>
                <c:ptCount val="3"/>
                <c:pt idx="0">
                  <c:v>7.8572436172193321</c:v>
                </c:pt>
                <c:pt idx="1">
                  <c:v>9.3857677666348795</c:v>
                </c:pt>
                <c:pt idx="2">
                  <c:v>9.3857677666348795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7B-44C4-89B5-425EB2AD6F1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60271968"/>
        <c:axId val="1660276960"/>
      </c:scatterChart>
      <c:valAx>
        <c:axId val="16602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0276960"/>
        <c:crosses val="autoZero"/>
        <c:crossBetween val="midCat"/>
        <c:majorUnit val="2"/>
      </c:valAx>
      <c:valAx>
        <c:axId val="16602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027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8159150419801"/>
          <c:y val="8.362333285077414E-2"/>
          <c:w val="0.85340239416294039"/>
          <c:h val="0.758638041626298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'Salida 2'!$I$4</c:f>
              <c:strCache>
                <c:ptCount val="1"/>
                <c:pt idx="0">
                  <c:v>Ámbito de gestión nacional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2095525226483682E-2"/>
                  <c:y val="-4.0862292213473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0E-4885-8AF3-18ED00BFF306}"/>
                </c:ext>
              </c:extLst>
            </c:dLbl>
            <c:dLbl>
              <c:idx val="2"/>
              <c:layout>
                <c:manualLayout>
                  <c:x val="-5.8818917729391476E-2"/>
                  <c:y val="-3.3751181102362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0E-4885-8AF3-18ED00BFF306}"/>
                </c:ext>
              </c:extLst>
            </c:dLbl>
            <c:dLbl>
              <c:idx val="3"/>
              <c:layout>
                <c:manualLayout>
                  <c:x val="-5.6149582007248081E-2"/>
                  <c:y val="-3.3751181102362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0E-4885-8AF3-18ED00BFF3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'Salida 2'!$H$5:$H$8</c:f>
              <c:numCache>
                <c:formatCode>General</c:formatCode>
                <c:ptCount val="4"/>
                <c:pt idx="0">
                  <c:v>2011</c:v>
                </c:pt>
                <c:pt idx="1">
                  <c:v>2021</c:v>
                </c:pt>
                <c:pt idx="2">
                  <c:v>2022</c:v>
                </c:pt>
                <c:pt idx="3">
                  <c:v>2024</c:v>
                </c:pt>
              </c:numCache>
            </c:numRef>
          </c:xVal>
          <c:yVal>
            <c:numRef>
              <c:f>'Salida 2'!$I$5:$I$8</c:f>
              <c:numCache>
                <c:formatCode>0.00</c:formatCode>
                <c:ptCount val="4"/>
                <c:pt idx="0">
                  <c:v>3.3015053417558934E-2</c:v>
                </c:pt>
                <c:pt idx="1">
                  <c:v>0.24983930793293069</c:v>
                </c:pt>
                <c:pt idx="2">
                  <c:v>11.540973430061815</c:v>
                </c:pt>
                <c:pt idx="3">
                  <c:v>11.540973430061815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E-4885-8AF3-18ED00BFF3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53301456"/>
        <c:axId val="1653299792"/>
      </c:scatterChart>
      <c:valAx>
        <c:axId val="16533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3299792"/>
        <c:crosses val="autoZero"/>
        <c:crossBetween val="midCat"/>
      </c:valAx>
      <c:valAx>
        <c:axId val="165329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330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231629</xdr:colOff>
      <xdr:row>4</xdr:row>
      <xdr:rowOff>128153</xdr:rowOff>
    </xdr:from>
    <xdr:to>
      <xdr:col>45</xdr:col>
      <xdr:colOff>83993</xdr:colOff>
      <xdr:row>22</xdr:row>
      <xdr:rowOff>166254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488372</xdr:colOff>
      <xdr:row>23</xdr:row>
      <xdr:rowOff>76199</xdr:rowOff>
    </xdr:from>
    <xdr:to>
      <xdr:col>44</xdr:col>
      <xdr:colOff>355022</xdr:colOff>
      <xdr:row>40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121228</xdr:colOff>
      <xdr:row>40</xdr:row>
      <xdr:rowOff>121227</xdr:rowOff>
    </xdr:from>
    <xdr:to>
      <xdr:col>44</xdr:col>
      <xdr:colOff>749878</xdr:colOff>
      <xdr:row>57</xdr:row>
      <xdr:rowOff>73603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450007</xdr:colOff>
      <xdr:row>79</xdr:row>
      <xdr:rowOff>57148</xdr:rowOff>
    </xdr:from>
    <xdr:to>
      <xdr:col>5</xdr:col>
      <xdr:colOff>680357</xdr:colOff>
      <xdr:row>96</xdr:row>
      <xdr:rowOff>155511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129268</xdr:colOff>
      <xdr:row>79</xdr:row>
      <xdr:rowOff>134905</xdr:rowOff>
    </xdr:from>
    <xdr:to>
      <xdr:col>11</xdr:col>
      <xdr:colOff>748393</xdr:colOff>
      <xdr:row>97</xdr:row>
      <xdr:rowOff>29158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469446</xdr:colOff>
      <xdr:row>98</xdr:row>
      <xdr:rowOff>47429</xdr:rowOff>
    </xdr:from>
    <xdr:to>
      <xdr:col>5</xdr:col>
      <xdr:colOff>709515</xdr:colOff>
      <xdr:row>116</xdr:row>
      <xdr:rowOff>106913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739266</xdr:colOff>
      <xdr:row>0</xdr:row>
      <xdr:rowOff>175101</xdr:rowOff>
    </xdr:from>
    <xdr:to>
      <xdr:col>28</xdr:col>
      <xdr:colOff>256737</xdr:colOff>
      <xdr:row>46</xdr:row>
      <xdr:rowOff>165057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8</xdr:row>
      <xdr:rowOff>180974</xdr:rowOff>
    </xdr:from>
    <xdr:to>
      <xdr:col>6</xdr:col>
      <xdr:colOff>752475</xdr:colOff>
      <xdr:row>31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209549</xdr:colOff>
      <xdr:row>9</xdr:row>
      <xdr:rowOff>0</xdr:rowOff>
    </xdr:from>
    <xdr:to>
      <xdr:col>15</xdr:col>
      <xdr:colOff>9525</xdr:colOff>
      <xdr:row>31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vemarsantamarta-my.sharepoint.com/personal/juan_zarate_invemar_org_co/Documents/2025_JuanZarate/Fichas%20SIRAP%20Caribe%20Marino%20Costero/Tabla_Creacion%20de%20AMP_a%202022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FINAL SINAP"/>
      <sheetName val="TABLA FINAL SINAP_EDIT_JZ"/>
      <sheetName val="Hoja4"/>
      <sheetName val="AUMENTO ANUAL"/>
      <sheetName val="Grafico anual"/>
      <sheetName val="Gráfico_Anual_Caribe_JZ"/>
      <sheetName val="GRAFICA FINAL 2021"/>
      <sheetName val="GRAFICA FINAL 2019 "/>
    </sheetNames>
    <sheetDataSet>
      <sheetData sheetId="0"/>
      <sheetData sheetId="1"/>
      <sheetData sheetId="2">
        <row r="29">
          <cell r="K29">
            <v>174654.50229999999</v>
          </cell>
          <cell r="L29">
            <v>24245.366700000286</v>
          </cell>
        </row>
      </sheetData>
      <sheetData sheetId="3"/>
      <sheetData sheetId="4"/>
      <sheetData sheetId="5">
        <row r="2">
          <cell r="G2" t="str">
            <v>Área Costera (ha)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opLeftCell="B61" zoomScale="85" zoomScaleNormal="85" workbookViewId="0">
      <selection activeCell="U53" sqref="U53"/>
    </sheetView>
  </sheetViews>
  <sheetFormatPr defaultColWidth="11.42578125" defaultRowHeight="15" x14ac:dyDescent="0.25"/>
  <cols>
    <col min="2" max="2" width="18.7109375" customWidth="1"/>
    <col min="4" max="4" width="14.140625" customWidth="1"/>
    <col min="7" max="7" width="14.85546875" customWidth="1"/>
    <col min="8" max="8" width="16.5703125" customWidth="1"/>
    <col min="9" max="9" width="17.42578125" customWidth="1"/>
  </cols>
  <sheetData>
    <row r="1" spans="1:11" x14ac:dyDescent="0.25">
      <c r="G1" s="7" t="s">
        <v>0</v>
      </c>
      <c r="H1" s="7"/>
      <c r="I1" s="7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1">
        <v>1964</v>
      </c>
      <c r="B3" s="1" t="s">
        <v>12</v>
      </c>
      <c r="C3" s="1" t="s">
        <v>13</v>
      </c>
      <c r="D3" s="1">
        <v>383000</v>
      </c>
      <c r="E3" s="1">
        <v>0</v>
      </c>
      <c r="F3" s="1">
        <f>D3+E3</f>
        <v>383000</v>
      </c>
      <c r="G3" s="1">
        <f>D3</f>
        <v>383000</v>
      </c>
      <c r="H3" s="1">
        <f>E3</f>
        <v>0</v>
      </c>
      <c r="I3" s="1">
        <f>G3</f>
        <v>383000</v>
      </c>
      <c r="J3" s="1">
        <v>0</v>
      </c>
      <c r="K3" s="1">
        <v>0</v>
      </c>
    </row>
    <row r="4" spans="1:11" x14ac:dyDescent="0.25">
      <c r="A4" s="1">
        <v>1969</v>
      </c>
      <c r="B4" s="1" t="s">
        <v>14</v>
      </c>
      <c r="C4" s="1" t="s">
        <v>13</v>
      </c>
      <c r="D4" s="1">
        <v>8056.99</v>
      </c>
      <c r="E4" s="1">
        <v>6943.01</v>
      </c>
      <c r="F4" s="1">
        <f t="shared" ref="F4:F26" si="0">D4+E4</f>
        <v>15000</v>
      </c>
      <c r="G4" s="1">
        <f>G3+D4</f>
        <v>391056.99</v>
      </c>
      <c r="H4" s="1">
        <f>H3+E4</f>
        <v>6943.01</v>
      </c>
      <c r="I4" s="1">
        <f>I3+F4</f>
        <v>398000</v>
      </c>
      <c r="J4" s="1">
        <v>7.7827535416353736E-3</v>
      </c>
      <c r="K4" s="1">
        <v>7.7827535416353736E-3</v>
      </c>
    </row>
    <row r="5" spans="1:11" x14ac:dyDescent="0.25">
      <c r="A5" s="1">
        <v>1969</v>
      </c>
      <c r="B5" s="1" t="s">
        <v>15</v>
      </c>
      <c r="C5" s="1" t="s">
        <v>13</v>
      </c>
      <c r="D5" s="1">
        <v>27315.47</v>
      </c>
      <c r="E5" s="1">
        <v>28884.53</v>
      </c>
      <c r="F5" s="1">
        <f t="shared" si="0"/>
        <v>56200</v>
      </c>
      <c r="G5" s="1">
        <f t="shared" ref="G5:I25" si="1">G4+D5</f>
        <v>418372.45999999996</v>
      </c>
      <c r="H5" s="1">
        <f t="shared" si="1"/>
        <v>35827.54</v>
      </c>
      <c r="I5" s="1">
        <f t="shared" si="1"/>
        <v>454200</v>
      </c>
      <c r="J5" s="1">
        <v>3.2378057666051639E-2</v>
      </c>
      <c r="K5" s="1">
        <v>4.0160811207687011E-2</v>
      </c>
    </row>
    <row r="6" spans="1:11" x14ac:dyDescent="0.25">
      <c r="A6" s="1">
        <v>1977</v>
      </c>
      <c r="B6" s="1" t="s">
        <v>16</v>
      </c>
      <c r="C6" s="1" t="s">
        <v>13</v>
      </c>
      <c r="D6" s="1">
        <v>7000</v>
      </c>
      <c r="E6" s="1">
        <v>0</v>
      </c>
      <c r="F6" s="1">
        <f t="shared" si="0"/>
        <v>7000</v>
      </c>
      <c r="G6" s="1">
        <f t="shared" si="1"/>
        <v>425372.45999999996</v>
      </c>
      <c r="H6" s="1">
        <f t="shared" si="1"/>
        <v>35827.54</v>
      </c>
      <c r="I6" s="1">
        <f t="shared" si="1"/>
        <v>461200</v>
      </c>
      <c r="J6" s="1">
        <v>0</v>
      </c>
      <c r="K6" s="1">
        <v>4.0160811207687011E-2</v>
      </c>
    </row>
    <row r="7" spans="1:11" x14ac:dyDescent="0.25">
      <c r="A7" s="1">
        <v>1977</v>
      </c>
      <c r="B7" s="1" t="s">
        <v>17</v>
      </c>
      <c r="C7" s="1" t="s">
        <v>13</v>
      </c>
      <c r="D7" s="1">
        <v>26810</v>
      </c>
      <c r="E7" s="1">
        <v>0</v>
      </c>
      <c r="F7" s="1">
        <f t="shared" si="0"/>
        <v>26810</v>
      </c>
      <c r="G7" s="1">
        <f t="shared" si="1"/>
        <v>452182.45999999996</v>
      </c>
      <c r="H7" s="1">
        <f t="shared" si="1"/>
        <v>35827.54</v>
      </c>
      <c r="I7" s="1">
        <f t="shared" si="1"/>
        <v>488010</v>
      </c>
      <c r="J7" s="1">
        <v>0</v>
      </c>
      <c r="K7" s="1">
        <v>4.0160811207687011E-2</v>
      </c>
    </row>
    <row r="8" spans="1:11" x14ac:dyDescent="0.25">
      <c r="A8" s="1">
        <v>1977</v>
      </c>
      <c r="B8" s="1" t="s">
        <v>18</v>
      </c>
      <c r="C8" s="1" t="s">
        <v>13</v>
      </c>
      <c r="D8" s="1">
        <v>19506</v>
      </c>
      <c r="E8" s="1">
        <v>100494</v>
      </c>
      <c r="F8" s="1">
        <f t="shared" si="0"/>
        <v>120000</v>
      </c>
      <c r="G8" s="1">
        <f t="shared" si="1"/>
        <v>471688.45999999996</v>
      </c>
      <c r="H8" s="1">
        <f t="shared" si="1"/>
        <v>136321.54</v>
      </c>
      <c r="I8" s="1">
        <f t="shared" si="1"/>
        <v>608010</v>
      </c>
      <c r="J8" s="1">
        <v>0.11264855364072718</v>
      </c>
      <c r="K8" s="1">
        <v>0.1528093648484142</v>
      </c>
    </row>
    <row r="9" spans="1:11" x14ac:dyDescent="0.25">
      <c r="A9" s="1">
        <v>1995</v>
      </c>
      <c r="B9" s="1" t="s">
        <v>19</v>
      </c>
      <c r="C9" s="1" t="s">
        <v>13</v>
      </c>
      <c r="D9" s="1">
        <v>89.69</v>
      </c>
      <c r="E9" s="1">
        <v>1526.29</v>
      </c>
      <c r="F9" s="1">
        <f t="shared" si="0"/>
        <v>1615.98</v>
      </c>
      <c r="G9" s="1">
        <f t="shared" si="1"/>
        <v>471778.14999999997</v>
      </c>
      <c r="H9" s="1">
        <f t="shared" si="1"/>
        <v>137847.83000000002</v>
      </c>
      <c r="I9" s="1">
        <f t="shared" si="1"/>
        <v>609625.98</v>
      </c>
      <c r="J9" s="1">
        <v>1.7108918038520259E-3</v>
      </c>
      <c r="K9" s="1">
        <v>0.15452025665226624</v>
      </c>
    </row>
    <row r="10" spans="1:11" x14ac:dyDescent="0.25">
      <c r="A10" s="1">
        <v>2001</v>
      </c>
      <c r="B10" s="1" t="s">
        <v>20</v>
      </c>
      <c r="C10" s="1" t="s">
        <v>13</v>
      </c>
      <c r="D10" s="1">
        <v>5.3</v>
      </c>
      <c r="E10" s="1">
        <v>38.9</v>
      </c>
      <c r="F10" s="1">
        <f t="shared" si="0"/>
        <v>44.199999999999996</v>
      </c>
      <c r="G10" s="1">
        <f t="shared" si="1"/>
        <v>471783.44999999995</v>
      </c>
      <c r="H10" s="1">
        <f t="shared" si="1"/>
        <v>137886.73000000001</v>
      </c>
      <c r="I10" s="1">
        <f t="shared" si="1"/>
        <v>609670.17999999993</v>
      </c>
      <c r="J10" s="1">
        <v>4.3604879262685208E-5</v>
      </c>
      <c r="K10" s="1">
        <v>0.15456386153152893</v>
      </c>
    </row>
    <row r="11" spans="1:11" x14ac:dyDescent="0.25">
      <c r="A11" s="1">
        <v>2002</v>
      </c>
      <c r="B11" s="1" t="s">
        <v>21</v>
      </c>
      <c r="C11" s="1" t="s">
        <v>13</v>
      </c>
      <c r="D11" s="1">
        <v>3850</v>
      </c>
      <c r="E11" s="1">
        <v>0</v>
      </c>
      <c r="F11" s="1">
        <f t="shared" si="0"/>
        <v>3850</v>
      </c>
      <c r="G11" s="1">
        <f>G10+D11</f>
        <v>475633.44999999995</v>
      </c>
      <c r="H11" s="1">
        <f t="shared" si="1"/>
        <v>137886.73000000001</v>
      </c>
      <c r="I11" s="1">
        <f t="shared" si="1"/>
        <v>613520.17999999993</v>
      </c>
      <c r="J11" s="1">
        <v>0</v>
      </c>
      <c r="K11" s="1">
        <v>0.15456386153152893</v>
      </c>
    </row>
    <row r="12" spans="1:11" x14ac:dyDescent="0.25">
      <c r="A12" s="1">
        <v>2005</v>
      </c>
      <c r="B12" s="1" t="s">
        <v>22</v>
      </c>
      <c r="C12" s="1" t="s">
        <v>13</v>
      </c>
      <c r="D12" s="1">
        <v>0</v>
      </c>
      <c r="E12" s="1">
        <v>6501700</v>
      </c>
      <c r="F12" s="1">
        <f t="shared" si="0"/>
        <v>6501700</v>
      </c>
      <c r="G12" s="1">
        <f t="shared" si="1"/>
        <v>475633.44999999995</v>
      </c>
      <c r="H12" s="1">
        <f t="shared" si="1"/>
        <v>6639586.7300000004</v>
      </c>
      <c r="I12" s="1">
        <f t="shared" si="1"/>
        <v>7115220.1799999997</v>
      </c>
      <c r="J12" s="1">
        <v>7.2880679563547668</v>
      </c>
      <c r="K12" s="1">
        <v>7.4426318178862951</v>
      </c>
    </row>
    <row r="13" spans="1:11" x14ac:dyDescent="0.25">
      <c r="A13" s="1">
        <v>2006</v>
      </c>
      <c r="B13" s="1" t="s">
        <v>23</v>
      </c>
      <c r="C13" s="1" t="s">
        <v>13</v>
      </c>
      <c r="D13" s="1">
        <v>27171</v>
      </c>
      <c r="E13" s="1">
        <v>0</v>
      </c>
      <c r="F13" s="1">
        <f t="shared" si="0"/>
        <v>27171</v>
      </c>
      <c r="G13" s="1">
        <f t="shared" si="1"/>
        <v>502804.44999999995</v>
      </c>
      <c r="H13" s="1">
        <f t="shared" si="1"/>
        <v>6639586.7300000004</v>
      </c>
      <c r="I13" s="1">
        <f t="shared" si="1"/>
        <v>7142391.1799999997</v>
      </c>
      <c r="J13" s="1">
        <v>0</v>
      </c>
      <c r="K13" s="1">
        <v>7.4426318178862951</v>
      </c>
    </row>
    <row r="14" spans="1:11" x14ac:dyDescent="0.25">
      <c r="A14" s="1">
        <v>2008</v>
      </c>
      <c r="B14" s="1" t="s">
        <v>24</v>
      </c>
      <c r="C14" s="1" t="s">
        <v>13</v>
      </c>
      <c r="D14" s="1">
        <v>3578.8</v>
      </c>
      <c r="E14" s="1">
        <v>0</v>
      </c>
      <c r="F14" s="1">
        <f t="shared" si="0"/>
        <v>3578.8</v>
      </c>
      <c r="G14" s="1">
        <f t="shared" si="1"/>
        <v>506383.24999999994</v>
      </c>
      <c r="H14" s="1">
        <f t="shared" si="1"/>
        <v>6639586.7300000004</v>
      </c>
      <c r="I14" s="1">
        <f t="shared" si="1"/>
        <v>7145969.9799999995</v>
      </c>
      <c r="J14" s="1">
        <v>0</v>
      </c>
      <c r="K14" s="1">
        <v>7.4426318178862951</v>
      </c>
    </row>
    <row r="15" spans="1:11" x14ac:dyDescent="0.25">
      <c r="A15" s="1">
        <v>2008</v>
      </c>
      <c r="B15" s="1" t="s">
        <v>25</v>
      </c>
      <c r="C15" s="1" t="s">
        <v>13</v>
      </c>
      <c r="D15" s="1">
        <v>2125</v>
      </c>
      <c r="E15" s="1">
        <v>0</v>
      </c>
      <c r="F15" s="1">
        <f>D15+E15</f>
        <v>2125</v>
      </c>
      <c r="G15" s="1">
        <f t="shared" si="1"/>
        <v>508508.24999999994</v>
      </c>
      <c r="H15" s="1">
        <f>H14+E15</f>
        <v>6639586.7300000004</v>
      </c>
      <c r="I15" s="1">
        <f t="shared" si="1"/>
        <v>7148094.9799999995</v>
      </c>
      <c r="J15" s="1">
        <v>0</v>
      </c>
      <c r="K15" s="1">
        <v>7.4426318178862951</v>
      </c>
    </row>
    <row r="16" spans="1:11" x14ac:dyDescent="0.25">
      <c r="A16" s="1">
        <v>2009</v>
      </c>
      <c r="B16" s="1" t="s">
        <v>26</v>
      </c>
      <c r="C16" s="1" t="s">
        <v>13</v>
      </c>
      <c r="D16" s="1">
        <v>25735</v>
      </c>
      <c r="E16" s="1">
        <v>5025</v>
      </c>
      <c r="F16" s="1">
        <f t="shared" si="0"/>
        <v>30760</v>
      </c>
      <c r="G16" s="1">
        <f>G15+D16</f>
        <v>534243.25</v>
      </c>
      <c r="H16" s="1">
        <f t="shared" si="1"/>
        <v>6644611.7300000004</v>
      </c>
      <c r="I16" s="1">
        <f t="shared" si="1"/>
        <v>7178854.9799999995</v>
      </c>
      <c r="J16" s="1">
        <v>5.632763966452267E-3</v>
      </c>
      <c r="K16" s="1">
        <v>7.4482645818527482</v>
      </c>
    </row>
    <row r="17" spans="1:11" x14ac:dyDescent="0.25">
      <c r="A17" s="1">
        <v>2009</v>
      </c>
      <c r="B17" s="1" t="s">
        <v>27</v>
      </c>
      <c r="C17" s="1" t="s">
        <v>13</v>
      </c>
      <c r="D17" s="1">
        <v>6182.89</v>
      </c>
      <c r="E17" s="1">
        <v>0</v>
      </c>
      <c r="F17" s="1">
        <f t="shared" si="0"/>
        <v>6182.89</v>
      </c>
      <c r="G17" s="1">
        <f t="shared" si="1"/>
        <v>540426.14</v>
      </c>
      <c r="H17" s="1">
        <f t="shared" si="1"/>
        <v>6644611.7300000004</v>
      </c>
      <c r="I17" s="1">
        <f t="shared" si="1"/>
        <v>7185037.8699999992</v>
      </c>
      <c r="J17" s="1">
        <v>0</v>
      </c>
      <c r="K17" s="1">
        <v>7.4482645818527482</v>
      </c>
    </row>
    <row r="18" spans="1:11" x14ac:dyDescent="0.25">
      <c r="A18" s="1">
        <v>2011</v>
      </c>
      <c r="B18" s="1" t="s">
        <v>28</v>
      </c>
      <c r="C18" s="1" t="s">
        <v>13</v>
      </c>
      <c r="D18" s="1">
        <v>1494.4</v>
      </c>
      <c r="E18" s="1">
        <v>0</v>
      </c>
      <c r="F18" s="1">
        <f t="shared" si="0"/>
        <v>1494.4</v>
      </c>
      <c r="G18" s="1">
        <f t="shared" si="1"/>
        <v>541920.54</v>
      </c>
      <c r="H18" s="1">
        <f t="shared" si="1"/>
        <v>6644611.7300000004</v>
      </c>
      <c r="I18" s="1">
        <f t="shared" si="1"/>
        <v>7186532.2699999996</v>
      </c>
      <c r="J18" s="1">
        <v>0</v>
      </c>
      <c r="K18" s="1">
        <v>7.4482645818527482</v>
      </c>
    </row>
    <row r="19" spans="1:11" x14ac:dyDescent="0.25">
      <c r="A19" s="1">
        <v>2012</v>
      </c>
      <c r="B19" s="1" t="s">
        <v>29</v>
      </c>
      <c r="C19" s="1" t="s">
        <v>13</v>
      </c>
      <c r="D19" s="1">
        <v>8730.2800000000007</v>
      </c>
      <c r="E19" s="1">
        <v>0</v>
      </c>
      <c r="F19" s="1">
        <f t="shared" si="0"/>
        <v>8730.2800000000007</v>
      </c>
      <c r="G19" s="1">
        <f t="shared" si="1"/>
        <v>550650.82000000007</v>
      </c>
      <c r="H19" s="1">
        <f t="shared" si="1"/>
        <v>6644611.7300000004</v>
      </c>
      <c r="I19" s="1">
        <f>I18+F19</f>
        <v>7195262.5499999998</v>
      </c>
      <c r="J19" s="1">
        <v>0</v>
      </c>
      <c r="K19" s="1">
        <v>7.4482645818527482</v>
      </c>
    </row>
    <row r="20" spans="1:11" x14ac:dyDescent="0.25">
      <c r="A20" s="1">
        <v>2013</v>
      </c>
      <c r="B20" s="1" t="s">
        <v>30</v>
      </c>
      <c r="C20" s="1" t="s">
        <v>13</v>
      </c>
      <c r="D20" s="1">
        <v>0</v>
      </c>
      <c r="E20" s="1">
        <v>142192.15</v>
      </c>
      <c r="F20" s="1">
        <f t="shared" si="0"/>
        <v>142192.15</v>
      </c>
      <c r="G20" s="1">
        <f t="shared" si="1"/>
        <v>550650.82000000007</v>
      </c>
      <c r="H20" s="1">
        <f t="shared" si="1"/>
        <v>6786803.8800000008</v>
      </c>
      <c r="I20" s="1">
        <f t="shared" si="1"/>
        <v>7337454.7000000002</v>
      </c>
      <c r="J20" s="1">
        <v>0.15939001369798519</v>
      </c>
      <c r="K20" s="1">
        <v>7.6076545955507342</v>
      </c>
    </row>
    <row r="21" spans="1:11" x14ac:dyDescent="0.25">
      <c r="A21" s="1">
        <v>2013</v>
      </c>
      <c r="B21" s="1" t="s">
        <v>31</v>
      </c>
      <c r="C21" s="1" t="s">
        <v>13</v>
      </c>
      <c r="D21" s="1">
        <v>0</v>
      </c>
      <c r="E21" s="1">
        <v>26832.71</v>
      </c>
      <c r="F21" s="1">
        <f>D21+E21</f>
        <v>26832.71</v>
      </c>
      <c r="G21" s="1">
        <f t="shared" si="1"/>
        <v>550650.82000000007</v>
      </c>
      <c r="H21" s="1">
        <f t="shared" si="1"/>
        <v>6813636.5900000008</v>
      </c>
      <c r="I21" s="1">
        <f t="shared" si="1"/>
        <v>7364287.4100000001</v>
      </c>
      <c r="J21" s="1">
        <v>3.0078074031893214E-2</v>
      </c>
      <c r="K21" s="1">
        <v>7.6377326695826273</v>
      </c>
    </row>
    <row r="22" spans="1:11" x14ac:dyDescent="0.25">
      <c r="A22" s="1">
        <v>2013</v>
      </c>
      <c r="B22" s="1" t="s">
        <v>32</v>
      </c>
      <c r="C22" s="1" t="s">
        <v>13</v>
      </c>
      <c r="D22" s="1">
        <v>30000</v>
      </c>
      <c r="E22" s="1">
        <v>0</v>
      </c>
      <c r="F22" s="1">
        <f t="shared" si="0"/>
        <v>30000</v>
      </c>
      <c r="G22" s="1">
        <f>G21+D22</f>
        <v>580650.82000000007</v>
      </c>
      <c r="H22" s="1">
        <f t="shared" si="1"/>
        <v>6813636.5900000008</v>
      </c>
      <c r="I22" s="1">
        <f t="shared" si="1"/>
        <v>7394287.4100000001</v>
      </c>
      <c r="J22" s="1">
        <v>0</v>
      </c>
      <c r="K22" s="1">
        <v>7.6377326695826273</v>
      </c>
    </row>
    <row r="23" spans="1:11" x14ac:dyDescent="0.25">
      <c r="A23" s="1">
        <v>2014</v>
      </c>
      <c r="B23" s="1" t="s">
        <v>33</v>
      </c>
      <c r="C23" s="1" t="s">
        <v>13</v>
      </c>
      <c r="D23" s="1">
        <v>2692.8</v>
      </c>
      <c r="E23" s="1">
        <v>11387.2</v>
      </c>
      <c r="F23" s="1">
        <f t="shared" si="0"/>
        <v>14080</v>
      </c>
      <c r="G23" s="1">
        <f t="shared" si="1"/>
        <v>583343.62000000011</v>
      </c>
      <c r="H23" s="1">
        <f>H22+E23</f>
        <v>6825023.790000001</v>
      </c>
      <c r="I23" s="1">
        <f t="shared" si="1"/>
        <v>7408367.4100000001</v>
      </c>
      <c r="J23" s="1">
        <v>1.276445966941E-2</v>
      </c>
      <c r="K23" s="1">
        <v>7.6504971292520372</v>
      </c>
    </row>
    <row r="24" spans="1:11" x14ac:dyDescent="0.25">
      <c r="A24" s="1">
        <v>2014</v>
      </c>
      <c r="B24" s="1" t="s">
        <v>34</v>
      </c>
      <c r="C24" s="1" t="s">
        <v>13</v>
      </c>
      <c r="D24" s="1">
        <v>3601</v>
      </c>
      <c r="E24" s="1">
        <v>0</v>
      </c>
      <c r="F24" s="1">
        <f t="shared" si="0"/>
        <v>3601</v>
      </c>
      <c r="G24" s="1">
        <f t="shared" si="1"/>
        <v>586944.62000000011</v>
      </c>
      <c r="H24" s="1">
        <f t="shared" si="1"/>
        <v>6825023.790000001</v>
      </c>
      <c r="I24" s="1">
        <f>I23+F24</f>
        <v>7411968.4100000001</v>
      </c>
      <c r="J24" s="1">
        <v>0</v>
      </c>
      <c r="K24" s="1">
        <v>7.6504971292520372</v>
      </c>
    </row>
    <row r="25" spans="1:11" x14ac:dyDescent="0.25">
      <c r="A25" s="1">
        <v>2018</v>
      </c>
      <c r="B25" s="1" t="s">
        <v>35</v>
      </c>
      <c r="C25" s="1" t="s">
        <v>13</v>
      </c>
      <c r="D25" s="1">
        <v>0</v>
      </c>
      <c r="E25" s="1">
        <v>67176.649999999994</v>
      </c>
      <c r="F25" s="1">
        <f t="shared" si="0"/>
        <v>67176.649999999994</v>
      </c>
      <c r="G25" s="1">
        <f t="shared" si="1"/>
        <v>586944.62000000011</v>
      </c>
      <c r="H25" s="1">
        <f t="shared" si="1"/>
        <v>6892200.4400000013</v>
      </c>
      <c r="I25" s="1">
        <f t="shared" si="1"/>
        <v>7479145.0600000005</v>
      </c>
      <c r="J25" s="1">
        <v>7.5301535026263799E-2</v>
      </c>
      <c r="K25" s="1">
        <v>7.725798664278301</v>
      </c>
    </row>
    <row r="26" spans="1:11" x14ac:dyDescent="0.25">
      <c r="A26" s="1">
        <v>2022</v>
      </c>
      <c r="B26" s="1" t="s">
        <v>36</v>
      </c>
      <c r="C26" s="1" t="s">
        <v>13</v>
      </c>
      <c r="D26" s="1">
        <v>0</v>
      </c>
      <c r="E26" s="1">
        <v>3312547</v>
      </c>
      <c r="F26" s="1">
        <f t="shared" si="0"/>
        <v>3312547</v>
      </c>
      <c r="G26" s="1">
        <f>G25+D26</f>
        <v>586944.62000000011</v>
      </c>
      <c r="H26" s="1">
        <f t="shared" ref="H26:I26" si="2">H25+E26</f>
        <v>10204747.440000001</v>
      </c>
      <c r="I26" s="1">
        <f t="shared" si="2"/>
        <v>10791692.060000001</v>
      </c>
      <c r="J26" s="1">
        <v>3.713193110204887</v>
      </c>
      <c r="K26" s="1">
        <v>11.438991774483188</v>
      </c>
    </row>
    <row r="27" spans="1:11" x14ac:dyDescent="0.25">
      <c r="A27" s="1">
        <v>2024</v>
      </c>
      <c r="B27" s="1" t="s">
        <v>37</v>
      </c>
      <c r="C27" s="1" t="s">
        <v>13</v>
      </c>
      <c r="D27" s="1">
        <f>[1]Hoja4!K29</f>
        <v>174654.50229999999</v>
      </c>
      <c r="E27" s="1">
        <f>[1]Hoja4!L29</f>
        <v>24245.366700000286</v>
      </c>
      <c r="F27" s="1">
        <f>E27+D27</f>
        <v>198899.86900000027</v>
      </c>
      <c r="G27" s="1">
        <f>G26+D27</f>
        <v>761599.12230000016</v>
      </c>
      <c r="H27" s="1">
        <f>H26+E27</f>
        <v>10228992.806700002</v>
      </c>
      <c r="I27" s="1">
        <f>I26+F27</f>
        <v>10990591.929000001</v>
      </c>
      <c r="J27" s="1"/>
      <c r="K27" s="1"/>
    </row>
    <row r="33" spans="1:8" x14ac:dyDescent="0.25">
      <c r="A33" s="1" t="s">
        <v>38</v>
      </c>
      <c r="B33" s="1" t="s">
        <v>1</v>
      </c>
      <c r="C33" s="1" t="s">
        <v>7</v>
      </c>
      <c r="D33" s="1" t="s">
        <v>7</v>
      </c>
      <c r="E33" s="1" t="s">
        <v>39</v>
      </c>
      <c r="F33" s="1" t="s">
        <v>39</v>
      </c>
      <c r="G33" s="1" t="s">
        <v>9</v>
      </c>
      <c r="H33" s="1" t="s">
        <v>40</v>
      </c>
    </row>
    <row r="34" spans="1:8" x14ac:dyDescent="0.25">
      <c r="A34" s="1">
        <v>1</v>
      </c>
      <c r="B34" s="1">
        <v>1964</v>
      </c>
      <c r="C34" s="1">
        <v>383000</v>
      </c>
      <c r="D34" s="1">
        <f>C34</f>
        <v>383000</v>
      </c>
      <c r="E34" s="1">
        <v>0</v>
      </c>
      <c r="F34" s="1">
        <f>E34</f>
        <v>0</v>
      </c>
      <c r="G34" s="1">
        <v>383000</v>
      </c>
      <c r="H34" s="1">
        <f>G34</f>
        <v>383000</v>
      </c>
    </row>
    <row r="35" spans="1:8" x14ac:dyDescent="0.25">
      <c r="A35" s="1">
        <v>2</v>
      </c>
      <c r="B35" s="1">
        <v>1969</v>
      </c>
      <c r="C35" s="1">
        <v>391056.99</v>
      </c>
      <c r="D35" s="1">
        <f>SUM(C34:C36)</f>
        <v>1192429.45</v>
      </c>
      <c r="E35" s="1">
        <v>6943.01</v>
      </c>
      <c r="F35" s="1">
        <f>SUM(E34:E36)</f>
        <v>42770.55</v>
      </c>
      <c r="G35" s="1">
        <v>398000</v>
      </c>
      <c r="H35" s="1">
        <f>SUM(G34:G36)</f>
        <v>1235200</v>
      </c>
    </row>
    <row r="36" spans="1:8" x14ac:dyDescent="0.25">
      <c r="A36" s="1">
        <v>3</v>
      </c>
      <c r="B36" s="1">
        <v>1969</v>
      </c>
      <c r="C36" s="1">
        <v>418372.45999999996</v>
      </c>
      <c r="D36" s="1"/>
      <c r="E36" s="1">
        <v>35827.54</v>
      </c>
      <c r="F36" s="1"/>
      <c r="G36" s="1">
        <v>454200</v>
      </c>
      <c r="H36" s="1"/>
    </row>
    <row r="37" spans="1:8" x14ac:dyDescent="0.25">
      <c r="A37" s="1">
        <v>4</v>
      </c>
      <c r="B37" s="1">
        <v>1977</v>
      </c>
      <c r="C37" s="1">
        <v>425372.45999999996</v>
      </c>
      <c r="D37" s="1">
        <f>SUM(C34:C39)</f>
        <v>2541672.83</v>
      </c>
      <c r="E37" s="1">
        <v>35827.54</v>
      </c>
      <c r="F37" s="1">
        <f>SUM(E34:E39)</f>
        <v>250747.17</v>
      </c>
      <c r="G37" s="1">
        <v>461200</v>
      </c>
      <c r="H37" s="1">
        <f>SUM(G34:G39)</f>
        <v>2792420</v>
      </c>
    </row>
    <row r="38" spans="1:8" x14ac:dyDescent="0.25">
      <c r="A38" s="1">
        <v>5</v>
      </c>
      <c r="B38" s="1">
        <v>1977</v>
      </c>
      <c r="C38" s="1">
        <v>452182.45999999996</v>
      </c>
      <c r="D38" s="1"/>
      <c r="E38" s="1">
        <v>35827.54</v>
      </c>
      <c r="F38" s="1"/>
      <c r="G38" s="1">
        <v>488010</v>
      </c>
      <c r="H38" s="1"/>
    </row>
    <row r="39" spans="1:8" x14ac:dyDescent="0.25">
      <c r="A39" s="1">
        <v>6</v>
      </c>
      <c r="B39" s="1">
        <v>1977</v>
      </c>
      <c r="C39" s="1">
        <v>471688.45999999996</v>
      </c>
      <c r="D39" s="1"/>
      <c r="E39" s="1">
        <v>136321.54</v>
      </c>
      <c r="F39" s="1"/>
      <c r="G39" s="1">
        <v>608010</v>
      </c>
      <c r="H39" s="1"/>
    </row>
    <row r="40" spans="1:8" x14ac:dyDescent="0.25">
      <c r="A40" s="1">
        <v>7</v>
      </c>
      <c r="B40" s="1">
        <v>1995</v>
      </c>
      <c r="C40" s="1">
        <v>471778.14999999997</v>
      </c>
      <c r="D40" s="1">
        <f>SUM(C34:C40)</f>
        <v>3013450.98</v>
      </c>
      <c r="E40" s="1">
        <v>137847.83000000002</v>
      </c>
      <c r="F40" s="1">
        <f>SUM(E34:E40)</f>
        <v>388595</v>
      </c>
      <c r="G40" s="1">
        <v>609625.98</v>
      </c>
      <c r="H40" s="1">
        <f>SUM(G34:G40)</f>
        <v>3402045.98</v>
      </c>
    </row>
    <row r="41" spans="1:8" x14ac:dyDescent="0.25">
      <c r="A41" s="1">
        <v>8</v>
      </c>
      <c r="B41" s="1">
        <v>2001</v>
      </c>
      <c r="C41" s="1">
        <v>471783.44999999995</v>
      </c>
      <c r="D41" s="1">
        <f>SUM(C34:C41)</f>
        <v>3485234.4299999997</v>
      </c>
      <c r="E41" s="1">
        <v>137886.73000000001</v>
      </c>
      <c r="F41" s="1">
        <f>SUM(E34:E41)</f>
        <v>526481.73</v>
      </c>
      <c r="G41" s="1">
        <v>609670.17999999993</v>
      </c>
      <c r="H41" s="1">
        <f>SUM(G34:G41)</f>
        <v>4011716.16</v>
      </c>
    </row>
    <row r="42" spans="1:8" x14ac:dyDescent="0.25">
      <c r="A42" s="1">
        <v>9</v>
      </c>
      <c r="B42" s="1">
        <v>2002</v>
      </c>
      <c r="C42" s="1">
        <v>475633.44999999995</v>
      </c>
      <c r="D42" s="1">
        <f>SUM(C34:C42)</f>
        <v>3960867.88</v>
      </c>
      <c r="E42" s="1">
        <v>137886.73000000001</v>
      </c>
      <c r="F42" s="1">
        <f>SUM(E34:E42)</f>
        <v>664368.46</v>
      </c>
      <c r="G42" s="1">
        <v>613520.17999999993</v>
      </c>
      <c r="H42" s="1">
        <f>SUM(G34:G42)</f>
        <v>4625236.34</v>
      </c>
    </row>
    <row r="43" spans="1:8" x14ac:dyDescent="0.25">
      <c r="A43" s="1">
        <v>10</v>
      </c>
      <c r="B43" s="1">
        <v>2005</v>
      </c>
      <c r="C43" s="1">
        <v>475633.44999999995</v>
      </c>
      <c r="D43" s="1">
        <f>SUM(C34:C43)</f>
        <v>4436501.33</v>
      </c>
      <c r="E43" s="1">
        <v>6639586.7300000004</v>
      </c>
      <c r="F43" s="1">
        <f>SUM(E34:E43)</f>
        <v>7303955.1900000004</v>
      </c>
      <c r="G43" s="1">
        <v>7115220.1799999997</v>
      </c>
      <c r="H43" s="1">
        <f>SUM(G34:G43)</f>
        <v>11740456.52</v>
      </c>
    </row>
    <row r="44" spans="1:8" x14ac:dyDescent="0.25">
      <c r="A44" s="1">
        <v>11</v>
      </c>
      <c r="B44" s="1">
        <v>2006</v>
      </c>
      <c r="C44" s="1">
        <v>502804.44999999995</v>
      </c>
      <c r="D44" s="1">
        <f>SUM(C34:C44)</f>
        <v>4939305.78</v>
      </c>
      <c r="E44" s="1">
        <v>6639586.7300000004</v>
      </c>
      <c r="F44" s="1">
        <f>SUM(E34:E44)</f>
        <v>13943541.920000002</v>
      </c>
      <c r="G44" s="1">
        <v>7142391.1799999997</v>
      </c>
      <c r="H44" s="1">
        <f>SUM(G34:G44)</f>
        <v>18882847.699999999</v>
      </c>
    </row>
    <row r="45" spans="1:8" x14ac:dyDescent="0.25">
      <c r="A45" s="1">
        <v>12</v>
      </c>
      <c r="B45" s="1">
        <v>2008</v>
      </c>
      <c r="C45" s="1">
        <v>506383.24999999994</v>
      </c>
      <c r="D45" s="1"/>
      <c r="E45" s="1">
        <v>6639586.7300000004</v>
      </c>
      <c r="F45" s="1"/>
      <c r="G45" s="1">
        <v>7145969.9799999995</v>
      </c>
      <c r="H45" s="1"/>
    </row>
    <row r="46" spans="1:8" x14ac:dyDescent="0.25">
      <c r="A46" s="1">
        <v>13</v>
      </c>
      <c r="B46" s="1">
        <v>2008</v>
      </c>
      <c r="C46" s="1">
        <v>508508.24999999994</v>
      </c>
      <c r="D46" s="1">
        <f>SUM(C34:C46)</f>
        <v>5954197.2800000003</v>
      </c>
      <c r="E46" s="1">
        <v>6639586.7300000004</v>
      </c>
      <c r="F46" s="1">
        <f>SUM(E34:E46)</f>
        <v>27222715.380000003</v>
      </c>
      <c r="G46" s="1">
        <v>7148094.9799999995</v>
      </c>
      <c r="H46" s="1">
        <f>SUM(G34:G46)</f>
        <v>33176912.66</v>
      </c>
    </row>
    <row r="47" spans="1:8" x14ac:dyDescent="0.25">
      <c r="A47" s="1">
        <v>14</v>
      </c>
      <c r="B47" s="1">
        <v>2009</v>
      </c>
      <c r="C47" s="1">
        <v>534243.25</v>
      </c>
      <c r="D47" s="1"/>
      <c r="E47" s="1">
        <v>6644611.7300000004</v>
      </c>
      <c r="F47" s="1"/>
      <c r="G47" s="1">
        <v>7178854.9799999995</v>
      </c>
      <c r="H47" s="1"/>
    </row>
    <row r="48" spans="1:8" x14ac:dyDescent="0.25">
      <c r="A48" s="1">
        <v>15</v>
      </c>
      <c r="B48" s="1">
        <v>2009</v>
      </c>
      <c r="C48" s="1">
        <v>540426.14</v>
      </c>
      <c r="D48" s="1">
        <f>SUM(C34:C48)</f>
        <v>7028866.6699999999</v>
      </c>
      <c r="E48" s="1">
        <v>6644611.7300000004</v>
      </c>
      <c r="F48" s="1">
        <f>SUM(E34:E48)</f>
        <v>40511938.840000004</v>
      </c>
      <c r="G48" s="1">
        <v>7185037.8699999992</v>
      </c>
      <c r="H48" s="1">
        <f>SUM(G34:G48)</f>
        <v>47540805.509999998</v>
      </c>
    </row>
    <row r="49" spans="1:12" x14ac:dyDescent="0.25">
      <c r="A49" s="1">
        <v>16</v>
      </c>
      <c r="B49" s="1">
        <v>2011</v>
      </c>
      <c r="C49" s="1">
        <v>541920.54</v>
      </c>
      <c r="D49" s="1">
        <f>SUM(C34:C49)</f>
        <v>7570787.21</v>
      </c>
      <c r="E49" s="1">
        <v>6644611.7300000004</v>
      </c>
      <c r="F49" s="1">
        <f>SUM(E34:E49)</f>
        <v>47156550.570000008</v>
      </c>
      <c r="G49" s="1">
        <v>7186532.2699999996</v>
      </c>
      <c r="H49" s="1">
        <f>SUM(G34:G49)</f>
        <v>54727337.780000001</v>
      </c>
    </row>
    <row r="50" spans="1:12" x14ac:dyDescent="0.25">
      <c r="A50" s="1">
        <v>17</v>
      </c>
      <c r="B50" s="1">
        <v>2012</v>
      </c>
      <c r="C50" s="1">
        <v>550650.82000000007</v>
      </c>
      <c r="D50" s="1">
        <f>SUM(C34:C50)</f>
        <v>8121438.0300000003</v>
      </c>
      <c r="E50" s="1">
        <v>6644611.7300000004</v>
      </c>
      <c r="F50" s="1">
        <f>SUM(E34:E50)</f>
        <v>53801162.300000012</v>
      </c>
      <c r="G50" s="1">
        <v>7195262.5499999998</v>
      </c>
      <c r="H50" s="1">
        <f>SUM(G34:G50)</f>
        <v>61922600.329999998</v>
      </c>
    </row>
    <row r="51" spans="1:12" x14ac:dyDescent="0.25">
      <c r="A51" s="1">
        <v>18</v>
      </c>
      <c r="B51" s="1">
        <v>2013</v>
      </c>
      <c r="C51" s="1">
        <v>550650.82000000007</v>
      </c>
      <c r="D51" s="1"/>
      <c r="E51" s="1">
        <v>6786803.8800000008</v>
      </c>
      <c r="F51" s="1"/>
      <c r="G51" s="1">
        <v>7337454.7000000002</v>
      </c>
      <c r="H51" s="1"/>
    </row>
    <row r="52" spans="1:12" x14ac:dyDescent="0.25">
      <c r="A52" s="1">
        <v>19</v>
      </c>
      <c r="B52" s="1">
        <v>2013</v>
      </c>
      <c r="C52" s="1">
        <v>550650.82000000007</v>
      </c>
      <c r="D52" s="1"/>
      <c r="E52" s="1">
        <v>6813636.5900000008</v>
      </c>
      <c r="F52" s="1"/>
      <c r="G52" s="1">
        <v>7364287.4100000001</v>
      </c>
      <c r="H52" s="1"/>
    </row>
    <row r="53" spans="1:12" x14ac:dyDescent="0.25">
      <c r="A53" s="1">
        <v>20</v>
      </c>
      <c r="B53" s="1">
        <v>2013</v>
      </c>
      <c r="C53" s="1">
        <v>580650.82000000007</v>
      </c>
      <c r="D53" s="1">
        <f>SUM(C34:C53)</f>
        <v>9803390.4900000002</v>
      </c>
      <c r="E53" s="1">
        <v>6813636.5900000008</v>
      </c>
      <c r="F53" s="1">
        <f>SUM(E34:E53)</f>
        <v>74215239.360000014</v>
      </c>
      <c r="G53" s="1">
        <v>7394287.4100000001</v>
      </c>
      <c r="H53" s="1">
        <f>SUM(G34:G53)</f>
        <v>84018629.849999994</v>
      </c>
    </row>
    <row r="54" spans="1:12" x14ac:dyDescent="0.25">
      <c r="A54" s="1">
        <v>21</v>
      </c>
      <c r="B54" s="1">
        <v>2014</v>
      </c>
      <c r="C54" s="1">
        <v>583343.62000000011</v>
      </c>
      <c r="D54" s="1"/>
      <c r="E54" s="1">
        <v>6825023.790000001</v>
      </c>
      <c r="F54" s="1"/>
      <c r="G54" s="1">
        <v>7408367.4100000001</v>
      </c>
      <c r="H54" s="1"/>
    </row>
    <row r="55" spans="1:12" x14ac:dyDescent="0.25">
      <c r="A55" s="1">
        <v>22</v>
      </c>
      <c r="B55" s="1">
        <v>2014</v>
      </c>
      <c r="C55" s="1">
        <v>586944.62000000011</v>
      </c>
      <c r="D55" s="1">
        <f>SUM(C34:C55)</f>
        <v>10973678.73</v>
      </c>
      <c r="E55" s="1">
        <v>6825023.790000001</v>
      </c>
      <c r="F55" s="1">
        <f>SUM(E34:E55)</f>
        <v>87865286.940000027</v>
      </c>
      <c r="G55" s="1">
        <v>7411968.4100000001</v>
      </c>
      <c r="H55" s="1">
        <f>SUM(G34:G55)</f>
        <v>98838965.669999987</v>
      </c>
    </row>
    <row r="56" spans="1:12" x14ac:dyDescent="0.25">
      <c r="A56" s="1">
        <v>23</v>
      </c>
      <c r="B56" s="1">
        <v>2018</v>
      </c>
      <c r="C56" s="1">
        <v>586944.62000000011</v>
      </c>
      <c r="D56" s="1">
        <f>SUM(C34:C56)</f>
        <v>11560623.350000001</v>
      </c>
      <c r="E56" s="1">
        <v>6892200.4400000013</v>
      </c>
      <c r="F56" s="1">
        <f>SUM(E34:E56)</f>
        <v>94757487.380000025</v>
      </c>
      <c r="G56" s="1">
        <v>7479145.0600000005</v>
      </c>
      <c r="H56" s="1">
        <f>SUM(G34:G56)</f>
        <v>106318110.72999999</v>
      </c>
    </row>
    <row r="57" spans="1:12" x14ac:dyDescent="0.25">
      <c r="A57" s="1">
        <v>24</v>
      </c>
      <c r="B57" s="1">
        <v>2022</v>
      </c>
      <c r="C57" s="1">
        <v>586944.62000000011</v>
      </c>
      <c r="D57" s="1">
        <f>SUM(C34:C57)</f>
        <v>12147567.970000003</v>
      </c>
      <c r="E57" s="1">
        <v>10204747.440000001</v>
      </c>
      <c r="F57" s="1">
        <f>SUM(E34:E57)</f>
        <v>104962234.82000002</v>
      </c>
      <c r="G57" s="1">
        <v>10791692.060000001</v>
      </c>
      <c r="H57" s="1">
        <f>SUM(G34:G57)</f>
        <v>117109802.78999999</v>
      </c>
    </row>
    <row r="58" spans="1:12" x14ac:dyDescent="0.25">
      <c r="A58" s="1">
        <v>25</v>
      </c>
      <c r="B58" s="1">
        <v>2024</v>
      </c>
      <c r="C58" s="1">
        <v>761599.12230000016</v>
      </c>
      <c r="D58" s="1">
        <f>SUM(C34:C58)</f>
        <v>12909167.092300003</v>
      </c>
      <c r="E58" s="1">
        <v>10228992.806700002</v>
      </c>
      <c r="F58" s="1">
        <v>104962234.82000002</v>
      </c>
      <c r="G58" s="1">
        <v>10791692.060000001</v>
      </c>
      <c r="H58" s="1">
        <f>SUM(G34:G58)</f>
        <v>127901494.84999999</v>
      </c>
    </row>
    <row r="60" spans="1:12" x14ac:dyDescent="0.25">
      <c r="B60" s="8" t="s">
        <v>41</v>
      </c>
      <c r="C60" s="8"/>
      <c r="D60" s="8"/>
      <c r="E60" s="8"/>
      <c r="F60" s="8"/>
      <c r="H60" s="9" t="s">
        <v>42</v>
      </c>
      <c r="I60" s="9"/>
      <c r="J60" s="9"/>
      <c r="K60" s="9"/>
      <c r="L60" s="2"/>
    </row>
    <row r="61" spans="1:12" x14ac:dyDescent="0.25">
      <c r="B61" s="1" t="s">
        <v>43</v>
      </c>
      <c r="C61" s="1" t="s">
        <v>44</v>
      </c>
      <c r="D61" s="1" t="s">
        <v>7</v>
      </c>
      <c r="E61" s="1" t="s">
        <v>39</v>
      </c>
      <c r="F61" s="1" t="s">
        <v>40</v>
      </c>
      <c r="H61" s="1" t="s">
        <v>43</v>
      </c>
      <c r="I61" s="1" t="s">
        <v>52</v>
      </c>
      <c r="J61" s="1" t="s">
        <v>49</v>
      </c>
      <c r="K61" s="1" t="s">
        <v>50</v>
      </c>
      <c r="L61" s="1" t="s">
        <v>51</v>
      </c>
    </row>
    <row r="62" spans="1:12" x14ac:dyDescent="0.25">
      <c r="B62" s="1">
        <v>1964</v>
      </c>
      <c r="C62" s="1">
        <v>1</v>
      </c>
      <c r="D62" s="1">
        <v>383000</v>
      </c>
      <c r="E62" s="1">
        <v>0</v>
      </c>
      <c r="F62" s="1">
        <v>383000</v>
      </c>
      <c r="H62" s="1">
        <v>1964</v>
      </c>
      <c r="I62" s="1">
        <v>1</v>
      </c>
      <c r="J62" s="1">
        <f>C34</f>
        <v>383000</v>
      </c>
      <c r="K62" s="1">
        <f>E34</f>
        <v>0</v>
      </c>
      <c r="L62" s="1">
        <f>G34</f>
        <v>383000</v>
      </c>
    </row>
    <row r="63" spans="1:12" x14ac:dyDescent="0.25">
      <c r="B63" s="1">
        <v>1969</v>
      </c>
      <c r="C63" s="1">
        <v>3</v>
      </c>
      <c r="D63" s="1">
        <v>1192429.45</v>
      </c>
      <c r="E63" s="1">
        <v>42770.55</v>
      </c>
      <c r="F63" s="1">
        <v>1235200</v>
      </c>
      <c r="H63" s="1">
        <v>1969</v>
      </c>
      <c r="I63" s="1">
        <v>3</v>
      </c>
      <c r="J63" s="1">
        <f>C36</f>
        <v>418372.45999999996</v>
      </c>
      <c r="K63" s="1">
        <f>E36</f>
        <v>35827.54</v>
      </c>
      <c r="L63" s="1">
        <f>G36</f>
        <v>454200</v>
      </c>
    </row>
    <row r="64" spans="1:12" x14ac:dyDescent="0.25">
      <c r="B64" s="1">
        <v>1977</v>
      </c>
      <c r="C64" s="1">
        <v>6</v>
      </c>
      <c r="D64" s="1">
        <v>2541672.83</v>
      </c>
      <c r="E64" s="1">
        <v>250747.17</v>
      </c>
      <c r="F64" s="1">
        <v>2792420</v>
      </c>
      <c r="H64" s="1">
        <v>1977</v>
      </c>
      <c r="I64" s="1">
        <v>6</v>
      </c>
      <c r="J64" s="1">
        <f t="shared" ref="J64:J69" si="3">C39</f>
        <v>471688.45999999996</v>
      </c>
      <c r="K64" s="1">
        <f t="shared" ref="K64:K69" si="4">E39</f>
        <v>136321.54</v>
      </c>
      <c r="L64" s="1">
        <f t="shared" ref="L64:L69" si="5">G39</f>
        <v>608010</v>
      </c>
    </row>
    <row r="65" spans="2:12" x14ac:dyDescent="0.25">
      <c r="B65" s="1">
        <v>1995</v>
      </c>
      <c r="C65" s="1">
        <v>7</v>
      </c>
      <c r="D65" s="1">
        <v>3013450.98</v>
      </c>
      <c r="E65" s="1">
        <v>388595</v>
      </c>
      <c r="F65" s="1">
        <v>3402045.98</v>
      </c>
      <c r="H65" s="1">
        <v>1995</v>
      </c>
      <c r="I65" s="1">
        <v>7</v>
      </c>
      <c r="J65" s="1">
        <f t="shared" si="3"/>
        <v>471778.14999999997</v>
      </c>
      <c r="K65" s="1">
        <f t="shared" si="4"/>
        <v>137847.83000000002</v>
      </c>
      <c r="L65" s="1">
        <f t="shared" si="5"/>
        <v>609625.98</v>
      </c>
    </row>
    <row r="66" spans="2:12" x14ac:dyDescent="0.25">
      <c r="B66" s="1">
        <v>2001</v>
      </c>
      <c r="C66" s="1">
        <v>8</v>
      </c>
      <c r="D66" s="1">
        <v>3485234.4299999997</v>
      </c>
      <c r="E66" s="1">
        <v>526481.73</v>
      </c>
      <c r="F66" s="1">
        <v>4011716.16</v>
      </c>
      <c r="H66" s="1">
        <v>2001</v>
      </c>
      <c r="I66" s="1">
        <v>8</v>
      </c>
      <c r="J66" s="1">
        <f t="shared" si="3"/>
        <v>471783.44999999995</v>
      </c>
      <c r="K66" s="1">
        <f t="shared" si="4"/>
        <v>137886.73000000001</v>
      </c>
      <c r="L66" s="1">
        <f t="shared" si="5"/>
        <v>609670.17999999993</v>
      </c>
    </row>
    <row r="67" spans="2:12" x14ac:dyDescent="0.25">
      <c r="B67" s="1">
        <v>2002</v>
      </c>
      <c r="C67" s="1">
        <v>9</v>
      </c>
      <c r="D67" s="1">
        <v>3960867.88</v>
      </c>
      <c r="E67" s="1">
        <v>664368.46</v>
      </c>
      <c r="F67" s="1">
        <v>4625236.34</v>
      </c>
      <c r="H67" s="1">
        <v>2002</v>
      </c>
      <c r="I67" s="1">
        <v>9</v>
      </c>
      <c r="J67" s="1">
        <f t="shared" si="3"/>
        <v>475633.44999999995</v>
      </c>
      <c r="K67" s="1">
        <f t="shared" si="4"/>
        <v>137886.73000000001</v>
      </c>
      <c r="L67" s="1">
        <f t="shared" si="5"/>
        <v>613520.17999999993</v>
      </c>
    </row>
    <row r="68" spans="2:12" x14ac:dyDescent="0.25">
      <c r="B68" s="1">
        <v>2005</v>
      </c>
      <c r="C68" s="1">
        <v>10</v>
      </c>
      <c r="D68" s="1">
        <v>4436501.33</v>
      </c>
      <c r="E68" s="1">
        <v>7303955.1900000004</v>
      </c>
      <c r="F68" s="1">
        <v>11740456.52</v>
      </c>
      <c r="H68" s="1">
        <v>2005</v>
      </c>
      <c r="I68" s="1">
        <v>10</v>
      </c>
      <c r="J68" s="1">
        <f t="shared" si="3"/>
        <v>475633.44999999995</v>
      </c>
      <c r="K68" s="1">
        <f t="shared" si="4"/>
        <v>6639586.7300000004</v>
      </c>
      <c r="L68" s="1">
        <f t="shared" si="5"/>
        <v>7115220.1799999997</v>
      </c>
    </row>
    <row r="69" spans="2:12" x14ac:dyDescent="0.25">
      <c r="B69" s="1">
        <v>2006</v>
      </c>
      <c r="C69" s="1">
        <v>11</v>
      </c>
      <c r="D69" s="1">
        <v>4939305.78</v>
      </c>
      <c r="E69" s="1">
        <v>13943541.920000002</v>
      </c>
      <c r="F69" s="1">
        <v>18882847.699999999</v>
      </c>
      <c r="H69" s="1">
        <v>2006</v>
      </c>
      <c r="I69" s="1">
        <v>11</v>
      </c>
      <c r="J69" s="1">
        <f t="shared" si="3"/>
        <v>502804.44999999995</v>
      </c>
      <c r="K69" s="1">
        <f t="shared" si="4"/>
        <v>6639586.7300000004</v>
      </c>
      <c r="L69" s="1">
        <f t="shared" si="5"/>
        <v>7142391.1799999997</v>
      </c>
    </row>
    <row r="70" spans="2:12" x14ac:dyDescent="0.25">
      <c r="B70" s="1">
        <v>2008</v>
      </c>
      <c r="C70" s="1">
        <v>13</v>
      </c>
      <c r="D70" s="1">
        <v>5954197.2800000003</v>
      </c>
      <c r="E70" s="1">
        <v>27222715.380000003</v>
      </c>
      <c r="F70" s="1">
        <v>33176912.66</v>
      </c>
      <c r="H70" s="1">
        <v>2008</v>
      </c>
      <c r="I70" s="1">
        <v>13</v>
      </c>
      <c r="J70" s="1">
        <f>C46</f>
        <v>508508.24999999994</v>
      </c>
      <c r="K70" s="1">
        <f>E46</f>
        <v>6639586.7300000004</v>
      </c>
      <c r="L70" s="1">
        <f>G46</f>
        <v>7148094.9799999995</v>
      </c>
    </row>
    <row r="71" spans="2:12" x14ac:dyDescent="0.25">
      <c r="B71" s="1">
        <v>2009</v>
      </c>
      <c r="C71" s="1">
        <v>15</v>
      </c>
      <c r="D71" s="1">
        <v>7028866.6699999999</v>
      </c>
      <c r="E71" s="1">
        <v>40511938.840000004</v>
      </c>
      <c r="F71" s="1">
        <v>47540805.509999998</v>
      </c>
      <c r="H71" s="1">
        <v>2009</v>
      </c>
      <c r="I71" s="1">
        <v>15</v>
      </c>
      <c r="J71" s="1">
        <f>C48</f>
        <v>540426.14</v>
      </c>
      <c r="K71" s="1">
        <f>E48</f>
        <v>6644611.7300000004</v>
      </c>
      <c r="L71" s="1">
        <f>G48</f>
        <v>7185037.8699999992</v>
      </c>
    </row>
    <row r="72" spans="2:12" x14ac:dyDescent="0.25">
      <c r="B72" s="1">
        <v>2011</v>
      </c>
      <c r="C72" s="1">
        <v>16</v>
      </c>
      <c r="D72" s="1">
        <v>7570787.21</v>
      </c>
      <c r="E72" s="1">
        <v>47156550.570000008</v>
      </c>
      <c r="F72" s="1">
        <v>54727337.780000001</v>
      </c>
      <c r="H72" s="1">
        <v>2011</v>
      </c>
      <c r="I72" s="1">
        <v>16</v>
      </c>
      <c r="J72" s="1">
        <f>C49</f>
        <v>541920.54</v>
      </c>
      <c r="K72" s="1">
        <f>E49</f>
        <v>6644611.7300000004</v>
      </c>
      <c r="L72" s="1">
        <f>G49</f>
        <v>7186532.2699999996</v>
      </c>
    </row>
    <row r="73" spans="2:12" x14ac:dyDescent="0.25">
      <c r="B73" s="1">
        <v>2012</v>
      </c>
      <c r="C73" s="1">
        <v>17</v>
      </c>
      <c r="D73" s="1">
        <v>8121438.0300000003</v>
      </c>
      <c r="E73" s="1">
        <v>53801162.300000012</v>
      </c>
      <c r="F73" s="1">
        <v>61922600.329999998</v>
      </c>
      <c r="H73" s="1">
        <v>2012</v>
      </c>
      <c r="I73" s="1">
        <v>17</v>
      </c>
      <c r="J73" s="1">
        <f>C50</f>
        <v>550650.82000000007</v>
      </c>
      <c r="K73" s="1">
        <f>E50</f>
        <v>6644611.7300000004</v>
      </c>
      <c r="L73" s="1">
        <f>G50</f>
        <v>7195262.5499999998</v>
      </c>
    </row>
    <row r="74" spans="2:12" x14ac:dyDescent="0.25">
      <c r="B74" s="1">
        <v>2013</v>
      </c>
      <c r="C74" s="1">
        <v>20</v>
      </c>
      <c r="D74" s="1">
        <v>9803390.4900000002</v>
      </c>
      <c r="E74" s="1">
        <v>74215239.360000014</v>
      </c>
      <c r="F74" s="1">
        <v>84018629.849999994</v>
      </c>
      <c r="H74" s="1">
        <v>2013</v>
      </c>
      <c r="I74" s="1">
        <v>20</v>
      </c>
      <c r="J74" s="1">
        <f>C53</f>
        <v>580650.82000000007</v>
      </c>
      <c r="K74" s="1">
        <f>E53</f>
        <v>6813636.5900000008</v>
      </c>
      <c r="L74" s="1">
        <f>G53</f>
        <v>7394287.4100000001</v>
      </c>
    </row>
    <row r="75" spans="2:12" x14ac:dyDescent="0.25">
      <c r="B75" s="1">
        <v>2014</v>
      </c>
      <c r="C75" s="1">
        <v>22</v>
      </c>
      <c r="D75" s="1">
        <v>10973678.73</v>
      </c>
      <c r="E75" s="1">
        <v>87865286.940000027</v>
      </c>
      <c r="F75" s="1">
        <v>98838965.669999987</v>
      </c>
      <c r="H75" s="1">
        <v>2014</v>
      </c>
      <c r="I75" s="1">
        <v>22</v>
      </c>
      <c r="J75" s="1">
        <f>C55</f>
        <v>586944.62000000011</v>
      </c>
      <c r="K75" s="1">
        <f>E55</f>
        <v>6825023.790000001</v>
      </c>
      <c r="L75" s="1">
        <f>G55</f>
        <v>7411968.4100000001</v>
      </c>
    </row>
    <row r="76" spans="2:12" x14ac:dyDescent="0.25">
      <c r="B76" s="1">
        <v>2018</v>
      </c>
      <c r="C76" s="1">
        <v>23</v>
      </c>
      <c r="D76" s="1">
        <v>11560623.350000001</v>
      </c>
      <c r="E76" s="1">
        <v>94757487.380000025</v>
      </c>
      <c r="F76" s="1">
        <v>106318110.72999999</v>
      </c>
      <c r="H76" s="1">
        <v>2018</v>
      </c>
      <c r="I76" s="1">
        <v>23</v>
      </c>
      <c r="J76" s="1">
        <f>C56</f>
        <v>586944.62000000011</v>
      </c>
      <c r="K76" s="1">
        <f>E56</f>
        <v>6892200.4400000013</v>
      </c>
      <c r="L76" s="1">
        <f>G56</f>
        <v>7479145.0600000005</v>
      </c>
    </row>
    <row r="77" spans="2:12" x14ac:dyDescent="0.25">
      <c r="B77" s="1">
        <v>2022</v>
      </c>
      <c r="C77" s="1">
        <v>24</v>
      </c>
      <c r="D77" s="1">
        <v>12147567.970000003</v>
      </c>
      <c r="E77" s="1">
        <v>104962234.82000002</v>
      </c>
      <c r="F77" s="1">
        <v>117109802.78999999</v>
      </c>
      <c r="H77" s="1">
        <v>2022</v>
      </c>
      <c r="I77" s="1">
        <v>24</v>
      </c>
      <c r="J77" s="1">
        <f>C57</f>
        <v>586944.62000000011</v>
      </c>
      <c r="K77" s="1">
        <f>E57</f>
        <v>10204747.440000001</v>
      </c>
      <c r="L77" s="1">
        <f>G57</f>
        <v>10791692.060000001</v>
      </c>
    </row>
    <row r="78" spans="2:12" x14ac:dyDescent="0.25">
      <c r="B78" s="1">
        <v>2024</v>
      </c>
      <c r="C78" s="1">
        <v>24</v>
      </c>
      <c r="D78" s="1">
        <v>12909167.092300003</v>
      </c>
      <c r="E78" s="1">
        <v>115191227.62670003</v>
      </c>
      <c r="F78" s="1">
        <v>128100394.719</v>
      </c>
      <c r="H78" s="1">
        <v>2024</v>
      </c>
      <c r="I78" s="1">
        <v>24</v>
      </c>
      <c r="J78" s="1">
        <v>586944.62000000011</v>
      </c>
      <c r="K78" s="1">
        <v>10204747.440000001</v>
      </c>
      <c r="L78" s="1">
        <f>G58</f>
        <v>10791692.060000001</v>
      </c>
    </row>
  </sheetData>
  <mergeCells count="3">
    <mergeCell ref="G1:I1"/>
    <mergeCell ref="B60:F60"/>
    <mergeCell ref="H60:K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X30" sqref="X30"/>
    </sheetView>
  </sheetViews>
  <sheetFormatPr defaultColWidth="11.42578125" defaultRowHeight="15" x14ac:dyDescent="0.25"/>
  <cols>
    <col min="3" max="3" width="26.140625" bestFit="1" customWidth="1"/>
    <col min="9" max="9" width="12.5703125" bestFit="1" customWidth="1"/>
  </cols>
  <sheetData>
    <row r="1" spans="1:9" ht="36" x14ac:dyDescent="0.55000000000000004">
      <c r="A1" s="6" t="s">
        <v>45</v>
      </c>
    </row>
    <row r="2" spans="1:9" x14ac:dyDescent="0.25">
      <c r="A2" s="11" t="s">
        <v>46</v>
      </c>
      <c r="B2" s="11"/>
      <c r="C2" s="11"/>
      <c r="H2" s="12" t="s">
        <v>47</v>
      </c>
      <c r="I2" s="12"/>
    </row>
    <row r="3" spans="1:9" x14ac:dyDescent="0.25">
      <c r="A3" s="10" t="s">
        <v>48</v>
      </c>
      <c r="B3" s="10"/>
      <c r="C3" s="10"/>
      <c r="H3" s="10" t="s">
        <v>48</v>
      </c>
      <c r="I3" s="10"/>
    </row>
    <row r="4" spans="1:9" ht="45" x14ac:dyDescent="0.25">
      <c r="A4" s="3" t="s">
        <v>43</v>
      </c>
      <c r="B4" s="3" t="s">
        <v>53</v>
      </c>
      <c r="C4" s="4" t="s">
        <v>54</v>
      </c>
      <c r="H4" s="4" t="s">
        <v>43</v>
      </c>
      <c r="I4" s="3" t="s">
        <v>53</v>
      </c>
    </row>
    <row r="5" spans="1:9" x14ac:dyDescent="0.25">
      <c r="A5" s="3">
        <v>2011</v>
      </c>
      <c r="B5" s="5">
        <v>19.156908972664059</v>
      </c>
      <c r="C5" s="5">
        <v>7.8572436172193321</v>
      </c>
      <c r="H5" s="3">
        <v>2011</v>
      </c>
      <c r="I5" s="5">
        <v>3.3015053417558934E-2</v>
      </c>
    </row>
    <row r="6" spans="1:9" x14ac:dyDescent="0.25">
      <c r="A6" s="3">
        <v>2022</v>
      </c>
      <c r="B6" s="5">
        <v>22.119700959153853</v>
      </c>
      <c r="C6" s="5">
        <v>9.3857677666348795</v>
      </c>
      <c r="H6" s="3">
        <v>2021</v>
      </c>
      <c r="I6" s="5">
        <v>0.24983930793293069</v>
      </c>
    </row>
    <row r="7" spans="1:9" x14ac:dyDescent="0.25">
      <c r="A7" s="3">
        <v>2024</v>
      </c>
      <c r="B7" s="5">
        <f>B6</f>
        <v>22.119700959153853</v>
      </c>
      <c r="C7" s="5">
        <f>C6</f>
        <v>9.3857677666348795</v>
      </c>
      <c r="H7" s="3">
        <v>2022</v>
      </c>
      <c r="I7" s="5">
        <v>11.540973430061815</v>
      </c>
    </row>
    <row r="8" spans="1:9" x14ac:dyDescent="0.25">
      <c r="H8" s="3">
        <v>2024</v>
      </c>
      <c r="I8" s="5">
        <v>11.540973430061815</v>
      </c>
    </row>
  </sheetData>
  <mergeCells count="4">
    <mergeCell ref="A3:C3"/>
    <mergeCell ref="A2:C2"/>
    <mergeCell ref="H2:I2"/>
    <mergeCell ref="H3:I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5E283E9467F44CB059973D81D93A27" ma:contentTypeVersion="16" ma:contentTypeDescription="Crear nuevo documento." ma:contentTypeScope="" ma:versionID="a1a99bf9bf4560c9743255f7697d7188">
  <xsd:schema xmlns:xsd="http://www.w3.org/2001/XMLSchema" xmlns:xs="http://www.w3.org/2001/XMLSchema" xmlns:p="http://schemas.microsoft.com/office/2006/metadata/properties" xmlns:ns3="2f2565fe-6041-4b18-a419-3e9dfa60c0f7" xmlns:ns4="c9cd8cdb-89ef-4bac-9488-2bfc490a364f" targetNamespace="http://schemas.microsoft.com/office/2006/metadata/properties" ma:root="true" ma:fieldsID="44e527807743b64c04a3cc860ffb2cfd" ns3:_="" ns4:_="">
    <xsd:import namespace="2f2565fe-6041-4b18-a419-3e9dfa60c0f7"/>
    <xsd:import namespace="c9cd8cdb-89ef-4bac-9488-2bfc490a364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565fe-6041-4b18-a419-3e9dfa60c0f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d8cdb-89ef-4bac-9488-2bfc490a3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cd8cdb-89ef-4bac-9488-2bfc490a364f" xsi:nil="true"/>
  </documentManagement>
</p:properties>
</file>

<file path=customXml/itemProps1.xml><?xml version="1.0" encoding="utf-8"?>
<ds:datastoreItem xmlns:ds="http://schemas.openxmlformats.org/officeDocument/2006/customXml" ds:itemID="{F6B84542-8E0B-4767-9E2E-07C0957AD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2565fe-6041-4b18-a419-3e9dfa60c0f7"/>
    <ds:schemaRef ds:uri="c9cd8cdb-89ef-4bac-9488-2bfc490a3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6FC71-5C53-4284-B5AE-F3BD2297CD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4465FA-3FD4-463B-9999-DE4B0B04F6AD}">
  <ds:schemaRefs>
    <ds:schemaRef ds:uri="http://schemas.microsoft.com/office/infopath/2007/PartnerControls"/>
    <ds:schemaRef ds:uri="c9cd8cdb-89ef-4bac-9488-2bfc490a364f"/>
    <ds:schemaRef ds:uri="http://schemas.microsoft.com/office/2006/metadata/properties"/>
    <ds:schemaRef ds:uri="http://schemas.microsoft.com/office/2006/documentManagement/types"/>
    <ds:schemaRef ds:uri="2f2565fe-6041-4b18-a419-3e9dfa60c0f7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Salida 1</vt:lpstr>
      <vt:lpstr>Salida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USR ITE 01</dc:creator>
  <cp:keywords/>
  <dc:description/>
  <cp:lastModifiedBy>Editor_Humboldt</cp:lastModifiedBy>
  <cp:revision/>
  <dcterms:created xsi:type="dcterms:W3CDTF">2025-03-27T19:53:24Z</dcterms:created>
  <dcterms:modified xsi:type="dcterms:W3CDTF">2025-06-20T15:54:55Z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0x010100B25E283E9467F44CB059973D81D93A27</vt:lpwstr>
  </property>
</Properties>
</file>