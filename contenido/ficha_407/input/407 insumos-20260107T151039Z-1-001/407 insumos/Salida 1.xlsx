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ida 1A Nativas" sheetId="1" r:id="rId4"/>
    <sheet state="visible" name="Salida 1B Introducidas" sheetId="2" r:id="rId5"/>
    <sheet state="visible" name="Hoja3" sheetId="3" r:id="rId6"/>
    <sheet state="visible" name="Hoja 1" sheetId="4" r:id="rId7"/>
  </sheets>
  <definedNames/>
  <calcPr/>
  <extLst>
    <ext uri="GoogleSheetsCustomDataVersion2">
      <go:sheetsCustomData xmlns:go="http://customooxmlschemas.google.com/" r:id="rId8" roundtripDataChecksum="XirB21nn2tTbBxeh3yT2E9NG5A1VzMpewZjbvuPCZCU="/>
    </ext>
  </extLst>
</workbook>
</file>

<file path=xl/sharedStrings.xml><?xml version="1.0" encoding="utf-8"?>
<sst xmlns="http://schemas.openxmlformats.org/spreadsheetml/2006/main" count="1245" uniqueCount="547">
  <si>
    <t>Anacardiaceae</t>
  </si>
  <si>
    <t>Spondias purpurea</t>
  </si>
  <si>
    <t>Ciruelo</t>
  </si>
  <si>
    <t>Bixaceae</t>
  </si>
  <si>
    <t>Bixa orellana</t>
  </si>
  <si>
    <t>Achiote</t>
  </si>
  <si>
    <t>Fabaceae</t>
  </si>
  <si>
    <t>Phaseolus lunatus</t>
  </si>
  <si>
    <t>Carauta</t>
  </si>
  <si>
    <t>Malvaceae</t>
  </si>
  <si>
    <t>Ceiba pentandra</t>
  </si>
  <si>
    <t>Ceiba</t>
  </si>
  <si>
    <t>Salicaceae</t>
  </si>
  <si>
    <t>Casearia corymbosa</t>
  </si>
  <si>
    <t>Guanábana</t>
  </si>
  <si>
    <t>Meliaceae</t>
  </si>
  <si>
    <t>Swietenia macrophylla</t>
  </si>
  <si>
    <t>Caoba</t>
  </si>
  <si>
    <t>Apiaceae</t>
  </si>
  <si>
    <t>Eryngium foetidum</t>
  </si>
  <si>
    <t>Culantro</t>
  </si>
  <si>
    <t>Bromeliaceae</t>
  </si>
  <si>
    <t>Ananas comosus</t>
  </si>
  <si>
    <t>Piña</t>
  </si>
  <si>
    <t>Dioscoreaceae</t>
  </si>
  <si>
    <t>Dioscorea polygonoides</t>
  </si>
  <si>
    <t>Ñame saino</t>
  </si>
  <si>
    <t>Arecaceae</t>
  </si>
  <si>
    <t>Bactris major</t>
  </si>
  <si>
    <t>Corozo</t>
  </si>
  <si>
    <t>Annonaceae</t>
  </si>
  <si>
    <t>Annona muricata</t>
  </si>
  <si>
    <t>Caricaceae</t>
  </si>
  <si>
    <t>Carica papaya</t>
  </si>
  <si>
    <t>Papaya</t>
  </si>
  <si>
    <t>Theobroma cacao</t>
  </si>
  <si>
    <t>Cacao</t>
  </si>
  <si>
    <t>Solanaceae</t>
  </si>
  <si>
    <t>Capsicum annuum</t>
  </si>
  <si>
    <t>Ají</t>
  </si>
  <si>
    <t>Gliricidia sepium</t>
  </si>
  <si>
    <t>Matarratón</t>
  </si>
  <si>
    <t>Familia</t>
  </si>
  <si>
    <t>Nombre científico</t>
  </si>
  <si>
    <t>Nombre común</t>
  </si>
  <si>
    <t>Suma de N</t>
  </si>
  <si>
    <t>%</t>
  </si>
  <si>
    <t>Total</t>
  </si>
  <si>
    <t>Euphorbiaceae</t>
  </si>
  <si>
    <t>Manihot esculenta</t>
  </si>
  <si>
    <t>Yuca</t>
  </si>
  <si>
    <t>Amaryllidaceae</t>
  </si>
  <si>
    <t>Cebolla</t>
  </si>
  <si>
    <t>Allium cepa</t>
  </si>
  <si>
    <t>Coco</t>
  </si>
  <si>
    <t>Cocos nucifera</t>
  </si>
  <si>
    <t>Cucurbitaceae</t>
  </si>
  <si>
    <t>Ahuyama</t>
  </si>
  <si>
    <t>Cucurbita moschata</t>
  </si>
  <si>
    <t>Fríjol cabecitanegra</t>
  </si>
  <si>
    <t>Vigna unguiculata</t>
  </si>
  <si>
    <t>Phyllanthaceae</t>
  </si>
  <si>
    <t>No identificado</t>
  </si>
  <si>
    <t>Phyllanthus acidus</t>
  </si>
  <si>
    <t>Tomate cherry</t>
  </si>
  <si>
    <t>Solanum lycopersicum</t>
  </si>
  <si>
    <t>Fríjol</t>
  </si>
  <si>
    <t>Phaseolus vulgaris</t>
  </si>
  <si>
    <t>Poaceae</t>
  </si>
  <si>
    <t>Caña dulce</t>
  </si>
  <si>
    <t>Saccharum officinarum</t>
  </si>
  <si>
    <t>Rutaceae</t>
  </si>
  <si>
    <t>Limón</t>
  </si>
  <si>
    <t>Citrus × limon</t>
  </si>
  <si>
    <t>Musaceae</t>
  </si>
  <si>
    <t>Banano rosa</t>
  </si>
  <si>
    <t>Musa velutina</t>
  </si>
  <si>
    <t>Tabaco</t>
  </si>
  <si>
    <t>Nicotiana tabacum</t>
  </si>
  <si>
    <t>Lamiaceae</t>
  </si>
  <si>
    <t>Teca</t>
  </si>
  <si>
    <t>Tectona grandis</t>
  </si>
  <si>
    <t>Naranja</t>
  </si>
  <si>
    <t>Citrus × aurantium</t>
  </si>
  <si>
    <t>Guandul</t>
  </si>
  <si>
    <t>Cajanus cajan</t>
  </si>
  <si>
    <t>Mango</t>
  </si>
  <si>
    <t>Mangifera indica</t>
  </si>
  <si>
    <t>Ñame diamante</t>
  </si>
  <si>
    <t>Dioscorea alata</t>
  </si>
  <si>
    <t>Lauraceae</t>
  </si>
  <si>
    <t>Aguacate</t>
  </si>
  <si>
    <t>Persea americana</t>
  </si>
  <si>
    <t>Ñame espino</t>
  </si>
  <si>
    <t>Dioscorea cayenensis</t>
  </si>
  <si>
    <t>Rubiaceae</t>
  </si>
  <si>
    <t>Café</t>
  </si>
  <si>
    <t>Coffea arabica</t>
  </si>
  <si>
    <t>Plátano</t>
  </si>
  <si>
    <t>Musa x paradisiaca</t>
  </si>
  <si>
    <t>Nombre común depurado</t>
  </si>
  <si>
    <t>Naranja, naranja agria, pomelo</t>
  </si>
  <si>
    <t>Limón, limón criollo, limón tahití</t>
  </si>
  <si>
    <t>Tomate, tomate cherry</t>
  </si>
  <si>
    <t>Nativa y cultivada</t>
  </si>
  <si>
    <t>Culantro, culantrillo</t>
  </si>
  <si>
    <t>Palma de lata, corozo</t>
  </si>
  <si>
    <t>Papaya, papayo criollo</t>
  </si>
  <si>
    <t>Ñame saino, colmillo de perro</t>
  </si>
  <si>
    <t>Carauta, fríjol zaragoza</t>
  </si>
  <si>
    <t>Guanábana cimarrón macho</t>
  </si>
  <si>
    <t>Ají, ají dulce, ají tres hojas</t>
  </si>
  <si>
    <t>Yuca, yuca amarga, yuca amarilla, yuca betuliana, yuca blanca, yuca venezolana, yuca chirosa, yuca jarta perro, yuca lengua de venado, yuca mejorada, yuca motilona, yuca negrita, yuca sacundina,yuca santanera...</t>
  </si>
  <si>
    <t>Nativa</t>
  </si>
  <si>
    <t>Acanthaceae</t>
  </si>
  <si>
    <t>Bravaisia integerrima</t>
  </si>
  <si>
    <t>Palo de agua</t>
  </si>
  <si>
    <t>Ruellia blechum</t>
  </si>
  <si>
    <t>Amaranthaceae</t>
  </si>
  <si>
    <t>Alternanthera albotomentosa</t>
  </si>
  <si>
    <t>Amaranthus dubius</t>
  </si>
  <si>
    <t>Bleopuerco, bledo</t>
  </si>
  <si>
    <t>Iresine diffusa</t>
  </si>
  <si>
    <t>Anacardium excelsum</t>
  </si>
  <si>
    <t>Caracolí</t>
  </si>
  <si>
    <t>Astronium graveolens</t>
  </si>
  <si>
    <t>Santa cruz, gusanero</t>
  </si>
  <si>
    <t>Spondias mombin</t>
  </si>
  <si>
    <t>Jobo, hobo</t>
  </si>
  <si>
    <t>Annona purpurea</t>
  </si>
  <si>
    <t>Guanábana matimba, guanábano cabezón matimba</t>
  </si>
  <si>
    <t>Annona squamosa</t>
  </si>
  <si>
    <t>Anón</t>
  </si>
  <si>
    <t>Apocynaceae</t>
  </si>
  <si>
    <t>Mesechites trifidus</t>
  </si>
  <si>
    <t>Bejuco mechocuán</t>
  </si>
  <si>
    <t>Rauvolfia sp.</t>
  </si>
  <si>
    <t>Solitaria</t>
  </si>
  <si>
    <t>Rauvolfia tetraphylla</t>
  </si>
  <si>
    <t>Calenturito</t>
  </si>
  <si>
    <t>Ruehssia macrophylla</t>
  </si>
  <si>
    <t>Tabernaemontana cymosa</t>
  </si>
  <si>
    <t>Huevo de varraco, huevo de verraco</t>
  </si>
  <si>
    <t>Tabernaemontana grandiflora</t>
  </si>
  <si>
    <t>Araceae</t>
  </si>
  <si>
    <t>Monstera sp.</t>
  </si>
  <si>
    <t>Zorrillo</t>
  </si>
  <si>
    <t>Philodendron sp1.</t>
  </si>
  <si>
    <t>Bejuco mayomi</t>
  </si>
  <si>
    <t>Philodendron sp2.</t>
  </si>
  <si>
    <t>Sabal mauritiiformis</t>
  </si>
  <si>
    <t>Palma amarga</t>
  </si>
  <si>
    <t>Aristolochiaceae</t>
  </si>
  <si>
    <t>Aristolochia anguicida</t>
  </si>
  <si>
    <t>Capitana, contracapitana</t>
  </si>
  <si>
    <t>Asteraceae</t>
  </si>
  <si>
    <t>Acmella sp.</t>
  </si>
  <si>
    <t>Asteraceae sp1.</t>
  </si>
  <si>
    <t>Baccharis trinervis</t>
  </si>
  <si>
    <t>Árnica, manzanillo</t>
  </si>
  <si>
    <t>Chromolaena sp.</t>
  </si>
  <si>
    <t>Chromolaena sp1.</t>
  </si>
  <si>
    <t>Bordilla</t>
  </si>
  <si>
    <t>Chromolaena sp2.</t>
  </si>
  <si>
    <t>Emilia fosbergii</t>
  </si>
  <si>
    <t>Lana de pato</t>
  </si>
  <si>
    <t>Erechtites hieraciifolius</t>
  </si>
  <si>
    <t>Bledo</t>
  </si>
  <si>
    <t>Erechtites sp.</t>
  </si>
  <si>
    <t>Erigeron bonariensis</t>
  </si>
  <si>
    <t>Eupatorium sp.</t>
  </si>
  <si>
    <t>Sio</t>
  </si>
  <si>
    <t>Melampodium divaricatum</t>
  </si>
  <si>
    <t>Botón de oro</t>
  </si>
  <si>
    <t>Mikania micrantha</t>
  </si>
  <si>
    <t>Mikania sp.</t>
  </si>
  <si>
    <t>Simsia sp.</t>
  </si>
  <si>
    <t>Spiracantha cornifolia</t>
  </si>
  <si>
    <t>Toloña, toloya</t>
  </si>
  <si>
    <t>Tridax procumbens</t>
  </si>
  <si>
    <t>Botón de oro, florecilla amarilla</t>
  </si>
  <si>
    <t>Verbesina sp.</t>
  </si>
  <si>
    <t>Manito de dios, manto de dios, cerbatana</t>
  </si>
  <si>
    <t>Vernonanthura patens</t>
  </si>
  <si>
    <t>Balsilla</t>
  </si>
  <si>
    <t>Bignoniaceae</t>
  </si>
  <si>
    <t>Bignonia aequinoctialis</t>
  </si>
  <si>
    <t>Malibú</t>
  </si>
  <si>
    <t>Bignonia sp1.</t>
  </si>
  <si>
    <t>Bignoniaceae sp1.</t>
  </si>
  <si>
    <t>Lumbre</t>
  </si>
  <si>
    <t>Crescentia cujete</t>
  </si>
  <si>
    <t>Totumo</t>
  </si>
  <si>
    <t>Dolichandra unguis-cati</t>
  </si>
  <si>
    <t>Bejuco uñita</t>
  </si>
  <si>
    <t>Tabebuia rosea</t>
  </si>
  <si>
    <t>Roble</t>
  </si>
  <si>
    <t>Cochlospermum vitifolium</t>
  </si>
  <si>
    <t>Papayote</t>
  </si>
  <si>
    <t>Boraginaceae</t>
  </si>
  <si>
    <t>Bourreria exsucca</t>
  </si>
  <si>
    <t>Uvito, uvito macho</t>
  </si>
  <si>
    <t>Cordia alliodora</t>
  </si>
  <si>
    <t>Vara de humo</t>
  </si>
  <si>
    <t>Cordia bicolor</t>
  </si>
  <si>
    <t>Muñeco</t>
  </si>
  <si>
    <t>Cordia dentata</t>
  </si>
  <si>
    <t>Uvito</t>
  </si>
  <si>
    <t>Cordia gerascanthus</t>
  </si>
  <si>
    <t>Cordia lucidula</t>
  </si>
  <si>
    <t>Muñeco, arato</t>
  </si>
  <si>
    <t>Cordia nodosa</t>
  </si>
  <si>
    <t>Cordia protracta</t>
  </si>
  <si>
    <t>Cordia sp.</t>
  </si>
  <si>
    <t>Uvito, muñeco</t>
  </si>
  <si>
    <t>Heliotropium angiospermum</t>
  </si>
  <si>
    <t>Cola de alacrán, verbena, rabo de alacrán</t>
  </si>
  <si>
    <t>Heliotropium indicum</t>
  </si>
  <si>
    <t>Verbena, verbena de monte</t>
  </si>
  <si>
    <t>Tournefortia sp.</t>
  </si>
  <si>
    <t>Pulguita de puerco</t>
  </si>
  <si>
    <t>Bromelia pinguin</t>
  </si>
  <si>
    <t>Puya, piñuela</t>
  </si>
  <si>
    <t>Capparaceae</t>
  </si>
  <si>
    <t>Belencita nemorosa</t>
  </si>
  <si>
    <t>Calabazuelo</t>
  </si>
  <si>
    <t>Cynophalla amplissima</t>
  </si>
  <si>
    <t>Raichina, látigo</t>
  </si>
  <si>
    <t>Cynophalla sessilis</t>
  </si>
  <si>
    <t>Látigo, cruceto</t>
  </si>
  <si>
    <t>Capparidaceae</t>
  </si>
  <si>
    <t>Capparidastrum frondosum</t>
  </si>
  <si>
    <t>Sin cogollo</t>
  </si>
  <si>
    <t>Clusiaceae</t>
  </si>
  <si>
    <t>Clusia sp.</t>
  </si>
  <si>
    <t>Commelinaceae</t>
  </si>
  <si>
    <t>Commelina diffusa</t>
  </si>
  <si>
    <t>Flor azul, flor morada</t>
  </si>
  <si>
    <t>Convolvulaceae</t>
  </si>
  <si>
    <t>Ipomoea batatas</t>
  </si>
  <si>
    <t>Batata</t>
  </si>
  <si>
    <t>Ipomoea sp.</t>
  </si>
  <si>
    <t>Bejuco de capitana</t>
  </si>
  <si>
    <t>Merremia sp.</t>
  </si>
  <si>
    <t>Campanilla, campanita</t>
  </si>
  <si>
    <t>Cyclanthaceae</t>
  </si>
  <si>
    <t>Carludovica palmata</t>
  </si>
  <si>
    <t>Palma iraca</t>
  </si>
  <si>
    <t>Acalypha alopecuroidea</t>
  </si>
  <si>
    <t>Destrancadero, escobilla</t>
  </si>
  <si>
    <t>Acalypha diversifolia</t>
  </si>
  <si>
    <t>Acalypha macrostachya</t>
  </si>
  <si>
    <t>Acalypha schiedeana</t>
  </si>
  <si>
    <t>Acalypha sp.</t>
  </si>
  <si>
    <t>Cnidoscolus urens</t>
  </si>
  <si>
    <t>Pringamosa</t>
  </si>
  <si>
    <t>Croton fragrans</t>
  </si>
  <si>
    <t>Croton sp1.</t>
  </si>
  <si>
    <t>Croton sp2.</t>
  </si>
  <si>
    <t>Euphorbia hirta</t>
  </si>
  <si>
    <t>Escobillo, tripa de pollo</t>
  </si>
  <si>
    <t>Euphorbiaceae sp1.</t>
  </si>
  <si>
    <t>Varita de gladel</t>
  </si>
  <si>
    <t>Jatropha gossypiifolia</t>
  </si>
  <si>
    <t>Pringamosa macho, túa-túa</t>
  </si>
  <si>
    <t>Bauhinia pauletia</t>
  </si>
  <si>
    <t>Patevaca</t>
  </si>
  <si>
    <t>Centrolobium paraense</t>
  </si>
  <si>
    <t>Guayacán hobo, cedro hediondo</t>
  </si>
  <si>
    <t>Centrosema pubescens</t>
  </si>
  <si>
    <t>Centrosema sp.</t>
  </si>
  <si>
    <t>Pito</t>
  </si>
  <si>
    <t>Coursetia ferruginea</t>
  </si>
  <si>
    <t>Rabo de conejo, ramón de conejo, bálsamo macho</t>
  </si>
  <si>
    <t>Deguelia picta</t>
  </si>
  <si>
    <t>Majua e gallina</t>
  </si>
  <si>
    <t>Desmanthus virgatus</t>
  </si>
  <si>
    <t>Bicho</t>
  </si>
  <si>
    <t>Desmodium incanum</t>
  </si>
  <si>
    <t>Cadillo</t>
  </si>
  <si>
    <t>Enterolobium cyclocarpum</t>
  </si>
  <si>
    <t>Orejero, carito</t>
  </si>
  <si>
    <t>Fabaceae sp1.</t>
  </si>
  <si>
    <t>Uvo macho</t>
  </si>
  <si>
    <t>Fabaceae sp2.</t>
  </si>
  <si>
    <t>Fabaceae sp3.</t>
  </si>
  <si>
    <t>Inga edulis</t>
  </si>
  <si>
    <t>Guamo de mico</t>
  </si>
  <si>
    <t>Inga sp.</t>
  </si>
  <si>
    <t>Guamo</t>
  </si>
  <si>
    <t>Inga spectabilis</t>
  </si>
  <si>
    <t>Guama castilla</t>
  </si>
  <si>
    <t>Inga vera</t>
  </si>
  <si>
    <t>Guamo, manto de dios</t>
  </si>
  <si>
    <t>Lonchocarpus sp.</t>
  </si>
  <si>
    <t>Ramo de conejo</t>
  </si>
  <si>
    <t>Lonchocarpus velutinus</t>
  </si>
  <si>
    <t>Rabo de iguana</t>
  </si>
  <si>
    <t>Machaerium biovulatum</t>
  </si>
  <si>
    <t>Siete cueros</t>
  </si>
  <si>
    <t>Machaerium bondaense</t>
  </si>
  <si>
    <t>Látigo</t>
  </si>
  <si>
    <t>Machaerium capote</t>
  </si>
  <si>
    <t>Siete cueros, capote</t>
  </si>
  <si>
    <t>Machaerium ferox</t>
  </si>
  <si>
    <t>Bejuco de sangre</t>
  </si>
  <si>
    <t>Machaerium goudotii</t>
  </si>
  <si>
    <t>Chicho</t>
  </si>
  <si>
    <t>Machaerium hirtum</t>
  </si>
  <si>
    <t>Sietecueros, uña de gato, colmillo de lobo</t>
  </si>
  <si>
    <t>Myrospermum frutescens</t>
  </si>
  <si>
    <t>Balsamito, mano de pilón</t>
  </si>
  <si>
    <t>Peltogyne purpurea</t>
  </si>
  <si>
    <t>Vara de león, cananeo</t>
  </si>
  <si>
    <t>Pithecellobium hymenaeifolium</t>
  </si>
  <si>
    <t>Pico de loro, pintamono</t>
  </si>
  <si>
    <t>Pithecellobium lanceolatum</t>
  </si>
  <si>
    <t>Platymiscium pinnatum</t>
  </si>
  <si>
    <t>Santa cruz, trébol</t>
  </si>
  <si>
    <t>Pseudalbizzia niopoides</t>
  </si>
  <si>
    <t>Guacamayo</t>
  </si>
  <si>
    <t>Pterocarpus acapulcensis</t>
  </si>
  <si>
    <t>Sangregao</t>
  </si>
  <si>
    <t>Samanea saman</t>
  </si>
  <si>
    <t>Campano</t>
  </si>
  <si>
    <t>Schnella glabra</t>
  </si>
  <si>
    <t>Patevaca, pativaca</t>
  </si>
  <si>
    <t>Schnella guianensis</t>
  </si>
  <si>
    <t>Bejuco cadena</t>
  </si>
  <si>
    <t>Senegalia polyphylla</t>
  </si>
  <si>
    <t>Senegalia sp1.</t>
  </si>
  <si>
    <t>Aromo</t>
  </si>
  <si>
    <t>Senegalia sp2.</t>
  </si>
  <si>
    <t>Batatilla</t>
  </si>
  <si>
    <t>Senegalia tamarindifolia</t>
  </si>
  <si>
    <t>Chicho, baranoa</t>
  </si>
  <si>
    <t>Senna macrophylla</t>
  </si>
  <si>
    <t>Senna obtusifolia</t>
  </si>
  <si>
    <t>Bicho, frijol</t>
  </si>
  <si>
    <t>Senna sp1.</t>
  </si>
  <si>
    <t>Chicho, tabaco macho</t>
  </si>
  <si>
    <t>Vigna sp1.</t>
  </si>
  <si>
    <t>Colorín</t>
  </si>
  <si>
    <t>Zapoteca formosa</t>
  </si>
  <si>
    <t>Bicho, vainillo</t>
  </si>
  <si>
    <t>Heliconiaceae</t>
  </si>
  <si>
    <t>Heliconia brachyantha</t>
  </si>
  <si>
    <t>Heliconia</t>
  </si>
  <si>
    <t>Heliconia latispatha</t>
  </si>
  <si>
    <t>Plantanillo, lengua de vaca</t>
  </si>
  <si>
    <t>Heliconia sp.</t>
  </si>
  <si>
    <t>Lengua de vaca, vijao</t>
  </si>
  <si>
    <t>Indeterminado</t>
  </si>
  <si>
    <t>Aegiphila mollis</t>
  </si>
  <si>
    <t>Callicarpa acuminata</t>
  </si>
  <si>
    <t>Coliciencia</t>
  </si>
  <si>
    <t>Hyptis capitata</t>
  </si>
  <si>
    <t>Tresbolas</t>
  </si>
  <si>
    <t>Salvia occidentalis</t>
  </si>
  <si>
    <t>Cansaperro</t>
  </si>
  <si>
    <t>Vitex cymosa</t>
  </si>
  <si>
    <t>Aceituno</t>
  </si>
  <si>
    <t>Nectandra turbacensis</t>
  </si>
  <si>
    <t>Ají de monte, laurel</t>
  </si>
  <si>
    <t>Lecythidaceae</t>
  </si>
  <si>
    <t>Gustavia superba</t>
  </si>
  <si>
    <t>Membrillo, cucaracho</t>
  </si>
  <si>
    <t>Lygodiaceae</t>
  </si>
  <si>
    <t>Lygodium venustum</t>
  </si>
  <si>
    <t>Helecho rastrero</t>
  </si>
  <si>
    <t>Lythraceae</t>
  </si>
  <si>
    <t>Adenaria floribunda</t>
  </si>
  <si>
    <t>Guayabito macho, guayabo macho, guayabito</t>
  </si>
  <si>
    <t>Malpighiaceae</t>
  </si>
  <si>
    <t>Bunchosia pseudonitida</t>
  </si>
  <si>
    <t>Bunchosia sp.</t>
  </si>
  <si>
    <t>Malpighiaceae sp1.</t>
  </si>
  <si>
    <t>Valdivia</t>
  </si>
  <si>
    <t>Stigmaphyllon dichotomum</t>
  </si>
  <si>
    <t>Bejuco de San Juan</t>
  </si>
  <si>
    <t>Stigmaphyllon sp.</t>
  </si>
  <si>
    <t>Corchorus orinocensis</t>
  </si>
  <si>
    <t>Escobilla negra, escobilla hoja angosta</t>
  </si>
  <si>
    <t>Corchorus siliquosus</t>
  </si>
  <si>
    <t>Escobilla</t>
  </si>
  <si>
    <t>Corchorus sp.</t>
  </si>
  <si>
    <t>Guazuma ulmifolia</t>
  </si>
  <si>
    <t>Guásimo</t>
  </si>
  <si>
    <t>Malvaceae sp1.</t>
  </si>
  <si>
    <t>Malvaceae sp2.</t>
  </si>
  <si>
    <t>Hierba buena</t>
  </si>
  <si>
    <t>Malvastrum americanum</t>
  </si>
  <si>
    <t>Melochia lupulina</t>
  </si>
  <si>
    <t>Cadillo de bolsa</t>
  </si>
  <si>
    <t>Melochia nodiflora</t>
  </si>
  <si>
    <t>Melochia parvifolia</t>
  </si>
  <si>
    <t>Escobilla, escobilla blanca, escoba babosa</t>
  </si>
  <si>
    <t>Melochia sp1.</t>
  </si>
  <si>
    <t>Cadillo de puya, escobillón</t>
  </si>
  <si>
    <t>Peltaea sp.</t>
  </si>
  <si>
    <t>Sida acuta</t>
  </si>
  <si>
    <t>Sida aggregata</t>
  </si>
  <si>
    <t>Sida rhombifolia</t>
  </si>
  <si>
    <t>Escobillo baboso</t>
  </si>
  <si>
    <t>Sida sp1.</t>
  </si>
  <si>
    <t>Escobilla, escobilla babosa</t>
  </si>
  <si>
    <t>Sterculia apetala</t>
  </si>
  <si>
    <t>Camajón</t>
  </si>
  <si>
    <t>Marantaceae</t>
  </si>
  <si>
    <t>Calathea sp.</t>
  </si>
  <si>
    <t>Stromanthe jacquinii</t>
  </si>
  <si>
    <t>Platanillo</t>
  </si>
  <si>
    <t>Trichilia sp1.</t>
  </si>
  <si>
    <t>Campano blanco</t>
  </si>
  <si>
    <t>Moraceae</t>
  </si>
  <si>
    <t>Brosimum guianense</t>
  </si>
  <si>
    <t>Guáimaro, rabo e mula</t>
  </si>
  <si>
    <t>Castilla tunu</t>
  </si>
  <si>
    <t>Higuerón rojo</t>
  </si>
  <si>
    <t>Ficus maxima</t>
  </si>
  <si>
    <t>Higuerón</t>
  </si>
  <si>
    <t>Maclura tinctoria</t>
  </si>
  <si>
    <t>Mora</t>
  </si>
  <si>
    <t>Nyctaginaceae</t>
  </si>
  <si>
    <t>Boerhavia erecta</t>
  </si>
  <si>
    <t>Tripa de pollo, rodilla de pollo</t>
  </si>
  <si>
    <t>Guapira costaricana</t>
  </si>
  <si>
    <t>Muñeco, árbol sapo</t>
  </si>
  <si>
    <t>Neea nigricans</t>
  </si>
  <si>
    <t>Sapo, buche de sapo</t>
  </si>
  <si>
    <t>Neea sp1.</t>
  </si>
  <si>
    <t>Cagadon de burro</t>
  </si>
  <si>
    <t>Neea sp2.</t>
  </si>
  <si>
    <t>Cagón de burro</t>
  </si>
  <si>
    <t>Oxalidaceae</t>
  </si>
  <si>
    <t>Oxalis sp.</t>
  </si>
  <si>
    <t>Trébol rastrero</t>
  </si>
  <si>
    <t>Piperaceae</t>
  </si>
  <si>
    <t>Piper marginatum</t>
  </si>
  <si>
    <t>Cordoncillo, Santa María</t>
  </si>
  <si>
    <t>Piper peltatum</t>
  </si>
  <si>
    <t>Piper taboganum</t>
  </si>
  <si>
    <t>Piper tuberculatum</t>
  </si>
  <si>
    <t>Cordoncillo, confitico</t>
  </si>
  <si>
    <t>Plantaginaceae</t>
  </si>
  <si>
    <t>Scoparia dulcis</t>
  </si>
  <si>
    <t>Hierba anís, yerba anís</t>
  </si>
  <si>
    <t>Polygonaceae</t>
  </si>
  <si>
    <t>Coccoloba sp.</t>
  </si>
  <si>
    <t>Juan garrote</t>
  </si>
  <si>
    <t>Triplaris americana</t>
  </si>
  <si>
    <t>Vara santa</t>
  </si>
  <si>
    <t>Pteridaceae</t>
  </si>
  <si>
    <t>Adiantum petiolatum</t>
  </si>
  <si>
    <t>Helecho</t>
  </si>
  <si>
    <t>Rhamnaceae</t>
  </si>
  <si>
    <t>Gouania polygama</t>
  </si>
  <si>
    <t>Conejillo</t>
  </si>
  <si>
    <t>Chomelia sp.</t>
  </si>
  <si>
    <t>Espino</t>
  </si>
  <si>
    <t>Chomelia spinosa</t>
  </si>
  <si>
    <t>Fruta de pava</t>
  </si>
  <si>
    <t>Eumachia sp1.</t>
  </si>
  <si>
    <t>Faramea occidentalis</t>
  </si>
  <si>
    <t>Canalete</t>
  </si>
  <si>
    <t>Gonzalagunia cornifolia</t>
  </si>
  <si>
    <t>Hobo macho</t>
  </si>
  <si>
    <t>Palicourea sp1.</t>
  </si>
  <si>
    <t>Frutapava</t>
  </si>
  <si>
    <t>Pittoniotis sp1.</t>
  </si>
  <si>
    <t>Aguacate macho</t>
  </si>
  <si>
    <t>Psychotria horizontalis</t>
  </si>
  <si>
    <t>Ají de monte</t>
  </si>
  <si>
    <t>Rosenbergiodendron formosum</t>
  </si>
  <si>
    <t>Maria Angola</t>
  </si>
  <si>
    <t>Spermacoce suaveolens</t>
  </si>
  <si>
    <t>Uncaria sp.</t>
  </si>
  <si>
    <t>Zanthoxylum setulosum</t>
  </si>
  <si>
    <t>Casearia aculeata</t>
  </si>
  <si>
    <t>Manca mula</t>
  </si>
  <si>
    <t>Casearia grandiflora</t>
  </si>
  <si>
    <t>Hierba buena, valdivia</t>
  </si>
  <si>
    <t>Casearia sp1.</t>
  </si>
  <si>
    <t>Casearia sp2.</t>
  </si>
  <si>
    <t>Bollo blanco</t>
  </si>
  <si>
    <t>Piparea multiflora</t>
  </si>
  <si>
    <t>Cabo de hacha, higo blanco</t>
  </si>
  <si>
    <t>Sapindaceae</t>
  </si>
  <si>
    <t>Cupania cf. castaneifolia</t>
  </si>
  <si>
    <t>Guacharaco</t>
  </si>
  <si>
    <t>Matayba scrobiculata</t>
  </si>
  <si>
    <t>Melicoccus oliviformis</t>
  </si>
  <si>
    <t>Mamón de ardilla, mamón de mico</t>
  </si>
  <si>
    <t>Paullinia sp1.</t>
  </si>
  <si>
    <t>Paullinia sp2.</t>
  </si>
  <si>
    <t>Valdivia blanca</t>
  </si>
  <si>
    <t>Sapindus saponaria</t>
  </si>
  <si>
    <t>Jaboncillo, pepo</t>
  </si>
  <si>
    <t>Serjania clematidea</t>
  </si>
  <si>
    <t>Serjania sp1.</t>
  </si>
  <si>
    <t>Bejuco cadena, salsa dulce</t>
  </si>
  <si>
    <t>Serjania sp2.</t>
  </si>
  <si>
    <t>Tres esquinas</t>
  </si>
  <si>
    <t>Talisia sp.</t>
  </si>
  <si>
    <t>Caney amarillo</t>
  </si>
  <si>
    <t>Sapotaceae</t>
  </si>
  <si>
    <t>Chrysophyllum argenteum</t>
  </si>
  <si>
    <t>Caimito</t>
  </si>
  <si>
    <t>Smilacaceae</t>
  </si>
  <si>
    <t>Smilax spinosa</t>
  </si>
  <si>
    <t>Colmillo de saino, diente de perro, colmillo de perro</t>
  </si>
  <si>
    <t>Solanum americanum</t>
  </si>
  <si>
    <t>Hierba mora, yerbamora</t>
  </si>
  <si>
    <t>Solanum hirtum</t>
  </si>
  <si>
    <t>Huevo de gato, lulo de monte</t>
  </si>
  <si>
    <t>Solanum sp.</t>
  </si>
  <si>
    <t>Berenjena morada</t>
  </si>
  <si>
    <t>Solanum sp1.</t>
  </si>
  <si>
    <t>Berenjeno morado</t>
  </si>
  <si>
    <t>Solanum subinerme</t>
  </si>
  <si>
    <t>Berenjena de monte, berenjena macho, hoja de luna</t>
  </si>
  <si>
    <t>Witheringia sp.</t>
  </si>
  <si>
    <t>Tabaco macho</t>
  </si>
  <si>
    <t>Thelypteridaceae</t>
  </si>
  <si>
    <t>Thelypteris sp.</t>
  </si>
  <si>
    <t>Helecho silvestre</t>
  </si>
  <si>
    <t>Ulmaceae</t>
  </si>
  <si>
    <t>Trema micrantha</t>
  </si>
  <si>
    <t>Guayuyo</t>
  </si>
  <si>
    <t>Urticaceae</t>
  </si>
  <si>
    <t>Cecropia peltata</t>
  </si>
  <si>
    <t>Guarumo, yarumo</t>
  </si>
  <si>
    <t>Myriocarpa longipes</t>
  </si>
  <si>
    <t>Urera caracasana</t>
  </si>
  <si>
    <t>Pringamosa, ortiga</t>
  </si>
  <si>
    <t>Verbenaceae</t>
  </si>
  <si>
    <t>Lantana sp.</t>
  </si>
  <si>
    <t>Cotorrera</t>
  </si>
  <si>
    <t>Petrea sp.</t>
  </si>
  <si>
    <t>Priva lappulacea</t>
  </si>
  <si>
    <t>Verbenaceae sp.</t>
  </si>
  <si>
    <t>Achiotillo</t>
  </si>
  <si>
    <t>Violaceae</t>
  </si>
  <si>
    <t>Rinorea sp.</t>
  </si>
  <si>
    <t>Zygophyllaceae</t>
  </si>
  <si>
    <t>Kallstroemia maxima</t>
  </si>
  <si>
    <t>Total Nativa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</si>
</sst>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BABAB"/>
      </left>
      <top style="thin">
        <color rgb="FFABABAB"/>
      </top>
    </border>
    <border>
      <left style="thin">
        <color rgb="FFABABAB"/>
      </left>
      <top style="thin">
        <color rgb="FFFFFFFF"/>
      </top>
    </border>
    <border>
      <right style="thin">
        <color rgb="FFABABAB"/>
      </right>
      <top style="thin">
        <color rgb="FFABABAB"/>
      </top>
    </border>
    <border>
      <left style="thin">
        <color rgb="FFFFFFFF"/>
      </left>
      <top style="thin">
        <color rgb="FFABABAB"/>
      </top>
    </border>
    <border>
      <right style="thin">
        <color rgb="FFABABAB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1" fillId="0" fontId="1" numFmtId="2" xfId="0" applyBorder="1" applyFont="1" applyNumberFormat="1"/>
    <xf borderId="1" fillId="2" fontId="1" numFmtId="0" xfId="0" applyBorder="1" applyFill="1" applyFont="1"/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0" fillId="0" fontId="1" numFmtId="2" xfId="0" applyFont="1" applyNumberFormat="1"/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6" fillId="0" fontId="4" numFmtId="0" xfId="0" applyBorder="1" applyFont="1"/>
    <xf borderId="0" fillId="0" fontId="1" numFmtId="0" xfId="0" applyFont="1"/>
    <xf borderId="1" fillId="0" fontId="5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Hoja3!$K$58:$K$285</c:f>
            </c:strRef>
          </c:cat>
          <c:val>
            <c:numRef>
              <c:f>Hoja3!$M$59:$M$286</c:f>
              <c:numCache/>
            </c:numRef>
          </c:val>
        </c:ser>
        <c:axId val="237746724"/>
        <c:axId val="934095753"/>
      </c:barChart>
      <c:catAx>
        <c:axId val="237746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4095753"/>
      </c:catAx>
      <c:valAx>
        <c:axId val="934095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774672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828675</xdr:colOff>
      <xdr:row>0</xdr:row>
      <xdr:rowOff>171450</xdr:rowOff>
    </xdr:from>
    <xdr:ext cx="9077325" cy="6477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971550</xdr:colOff>
      <xdr:row>2</xdr:row>
      <xdr:rowOff>180975</xdr:rowOff>
    </xdr:from>
    <xdr:ext cx="11696700" cy="782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161925</xdr:colOff>
      <xdr:row>96</xdr:row>
      <xdr:rowOff>85725</xdr:rowOff>
    </xdr:from>
    <xdr:ext cx="7467600" cy="4381500"/>
    <xdr:graphicFrame>
      <xdr:nvGraphicFramePr>
        <xdr:cNvPr id="18141705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2.57"/>
    <col customWidth="1" min="3" max="3" width="14.86"/>
    <col customWidth="1" min="4" max="4" width="10.43"/>
    <col customWidth="1" min="5" max="5" width="7.14"/>
    <col customWidth="1" min="6" max="6" width="32.29"/>
    <col customWidth="1" min="7" max="25" width="10.71"/>
  </cols>
  <sheetData>
    <row r="1" ht="15.0" customHeight="1">
      <c r="A1" s="1" t="s">
        <v>0</v>
      </c>
      <c r="B1" s="2" t="s">
        <v>1</v>
      </c>
      <c r="C1" s="1" t="s">
        <v>2</v>
      </c>
      <c r="D1" s="3">
        <v>1.0</v>
      </c>
      <c r="E1" s="4">
        <f t="shared" ref="E1:E15" si="1">D1*100/203</f>
        <v>0.4926108374</v>
      </c>
    </row>
    <row r="2">
      <c r="A2" s="1" t="s">
        <v>3</v>
      </c>
      <c r="B2" s="2" t="s">
        <v>4</v>
      </c>
      <c r="C2" s="1" t="s">
        <v>5</v>
      </c>
      <c r="D2" s="3">
        <v>1.0</v>
      </c>
      <c r="E2" s="4">
        <f t="shared" si="1"/>
        <v>0.4926108374</v>
      </c>
    </row>
    <row r="3">
      <c r="A3" s="1" t="s">
        <v>6</v>
      </c>
      <c r="B3" s="2" t="s">
        <v>7</v>
      </c>
      <c r="C3" s="1" t="s">
        <v>8</v>
      </c>
      <c r="D3" s="3">
        <v>1.0</v>
      </c>
      <c r="E3" s="4">
        <f t="shared" si="1"/>
        <v>0.4926108374</v>
      </c>
    </row>
    <row r="4">
      <c r="A4" s="1" t="s">
        <v>9</v>
      </c>
      <c r="B4" s="2" t="s">
        <v>10</v>
      </c>
      <c r="C4" s="1" t="s">
        <v>11</v>
      </c>
      <c r="D4" s="3">
        <v>1.0</v>
      </c>
      <c r="E4" s="4">
        <f t="shared" si="1"/>
        <v>0.4926108374</v>
      </c>
    </row>
    <row r="5">
      <c r="A5" s="1" t="s">
        <v>12</v>
      </c>
      <c r="B5" s="2" t="s">
        <v>13</v>
      </c>
      <c r="C5" s="5" t="s">
        <v>14</v>
      </c>
      <c r="D5" s="3">
        <v>1.0</v>
      </c>
      <c r="E5" s="4">
        <f t="shared" si="1"/>
        <v>0.4926108374</v>
      </c>
    </row>
    <row r="6">
      <c r="A6" s="1" t="s">
        <v>15</v>
      </c>
      <c r="B6" s="2" t="s">
        <v>16</v>
      </c>
      <c r="C6" s="1" t="s">
        <v>17</v>
      </c>
      <c r="D6" s="3">
        <v>2.0</v>
      </c>
      <c r="E6" s="4">
        <f t="shared" si="1"/>
        <v>0.9852216749</v>
      </c>
    </row>
    <row r="7">
      <c r="A7" s="1" t="s">
        <v>18</v>
      </c>
      <c r="B7" s="2" t="s">
        <v>19</v>
      </c>
      <c r="C7" s="1" t="s">
        <v>20</v>
      </c>
      <c r="D7" s="3">
        <v>3.0</v>
      </c>
      <c r="E7" s="4">
        <f t="shared" si="1"/>
        <v>1.477832512</v>
      </c>
    </row>
    <row r="8">
      <c r="A8" s="1" t="s">
        <v>21</v>
      </c>
      <c r="B8" s="2" t="s">
        <v>22</v>
      </c>
      <c r="C8" s="1" t="s">
        <v>23</v>
      </c>
      <c r="D8" s="3">
        <v>3.0</v>
      </c>
      <c r="E8" s="4">
        <f t="shared" si="1"/>
        <v>1.477832512</v>
      </c>
    </row>
    <row r="9">
      <c r="A9" s="1" t="s">
        <v>24</v>
      </c>
      <c r="B9" s="2" t="s">
        <v>25</v>
      </c>
      <c r="C9" s="1" t="s">
        <v>26</v>
      </c>
      <c r="D9" s="3">
        <v>4.0</v>
      </c>
      <c r="E9" s="4">
        <f t="shared" si="1"/>
        <v>1.97044335</v>
      </c>
    </row>
    <row r="10">
      <c r="A10" s="1" t="s">
        <v>27</v>
      </c>
      <c r="B10" s="2" t="s">
        <v>28</v>
      </c>
      <c r="C10" s="1" t="s">
        <v>29</v>
      </c>
      <c r="D10" s="3">
        <v>5.0</v>
      </c>
      <c r="E10" s="4">
        <f t="shared" si="1"/>
        <v>2.463054187</v>
      </c>
    </row>
    <row r="11">
      <c r="A11" s="1" t="s">
        <v>30</v>
      </c>
      <c r="B11" s="2" t="s">
        <v>31</v>
      </c>
      <c r="C11" s="5" t="s">
        <v>14</v>
      </c>
      <c r="D11" s="3">
        <v>6.0</v>
      </c>
      <c r="E11" s="4">
        <f t="shared" si="1"/>
        <v>2.955665025</v>
      </c>
    </row>
    <row r="12">
      <c r="A12" s="1" t="s">
        <v>32</v>
      </c>
      <c r="B12" s="2" t="s">
        <v>33</v>
      </c>
      <c r="C12" s="1" t="s">
        <v>34</v>
      </c>
      <c r="D12" s="3">
        <v>9.0</v>
      </c>
      <c r="E12" s="4">
        <f t="shared" si="1"/>
        <v>4.433497537</v>
      </c>
    </row>
    <row r="13">
      <c r="A13" s="1" t="s">
        <v>9</v>
      </c>
      <c r="B13" s="2" t="s">
        <v>35</v>
      </c>
      <c r="C13" s="1" t="s">
        <v>36</v>
      </c>
      <c r="D13" s="3">
        <v>12.0</v>
      </c>
      <c r="E13" s="4">
        <f t="shared" si="1"/>
        <v>5.911330049</v>
      </c>
    </row>
    <row r="14">
      <c r="A14" s="1" t="s">
        <v>37</v>
      </c>
      <c r="B14" s="2" t="s">
        <v>38</v>
      </c>
      <c r="C14" s="1" t="s">
        <v>39</v>
      </c>
      <c r="D14" s="3">
        <v>26.0</v>
      </c>
      <c r="E14" s="4">
        <f t="shared" si="1"/>
        <v>12.80788177</v>
      </c>
    </row>
    <row r="15">
      <c r="A15" s="1" t="s">
        <v>6</v>
      </c>
      <c r="B15" s="2" t="s">
        <v>40</v>
      </c>
      <c r="C15" s="1" t="s">
        <v>41</v>
      </c>
      <c r="D15" s="3">
        <v>128.0</v>
      </c>
      <c r="E15" s="4">
        <f t="shared" si="1"/>
        <v>63.05418719</v>
      </c>
    </row>
    <row r="16">
      <c r="A16" s="6" t="s">
        <v>42</v>
      </c>
      <c r="B16" s="6" t="s">
        <v>43</v>
      </c>
      <c r="C16" s="6" t="s">
        <v>44</v>
      </c>
      <c r="D16" s="7" t="s">
        <v>45</v>
      </c>
      <c r="E16" s="7" t="s">
        <v>46</v>
      </c>
    </row>
    <row r="17">
      <c r="A17" s="1"/>
      <c r="B17" s="1"/>
      <c r="C17" s="6" t="s">
        <v>47</v>
      </c>
      <c r="D17" s="3">
        <f>SUM(D2:D16)</f>
        <v>202</v>
      </c>
      <c r="E17" s="1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A22" s="9" t="s">
        <v>48</v>
      </c>
      <c r="B22" s="9" t="s">
        <v>49</v>
      </c>
      <c r="C22" s="9" t="s">
        <v>50</v>
      </c>
      <c r="D22" s="10">
        <v>1089.0</v>
      </c>
      <c r="E22" s="11"/>
    </row>
    <row r="23" ht="15.75" customHeight="1">
      <c r="D23" s="8"/>
    </row>
    <row r="24" ht="15.75" customHeight="1">
      <c r="D24" s="8"/>
    </row>
    <row r="25" ht="15.75" customHeight="1">
      <c r="D25" s="8"/>
    </row>
    <row r="26" ht="15.75" customHeight="1">
      <c r="D26" s="8"/>
    </row>
    <row r="27" ht="15.75" customHeight="1">
      <c r="D27" s="8"/>
    </row>
    <row r="28" ht="15.75" customHeight="1">
      <c r="D28" s="8"/>
    </row>
    <row r="29" ht="15.75" customHeight="1">
      <c r="D29" s="8"/>
    </row>
    <row r="30" ht="15.75" customHeight="1">
      <c r="D30" s="8"/>
    </row>
    <row r="31" ht="15.75" customHeight="1">
      <c r="D31" s="8"/>
    </row>
    <row r="32" ht="15.75" customHeight="1">
      <c r="D32" s="8"/>
    </row>
    <row r="33" ht="15.75" customHeight="1">
      <c r="D33" s="8"/>
    </row>
    <row r="34" ht="15.75" customHeight="1">
      <c r="D34" s="8"/>
    </row>
    <row r="35" ht="15.75" customHeight="1">
      <c r="D35" s="8"/>
    </row>
    <row r="36" ht="15.75" customHeight="1">
      <c r="D36" s="8"/>
    </row>
    <row r="37" ht="15.75" customHeight="1">
      <c r="D37" s="8"/>
    </row>
    <row r="38" ht="15.75" customHeight="1">
      <c r="D38" s="8"/>
    </row>
    <row r="39" ht="15.75" customHeight="1">
      <c r="D39" s="8"/>
    </row>
    <row r="40" ht="15.75" customHeight="1">
      <c r="D40" s="8"/>
    </row>
    <row r="41" ht="15.75" customHeight="1">
      <c r="D41" s="8"/>
    </row>
    <row r="42" ht="15.75" customHeight="1">
      <c r="D42" s="8"/>
    </row>
    <row r="43" ht="15.75" customHeight="1">
      <c r="D43" s="8"/>
    </row>
    <row r="44" ht="15.75" customHeight="1">
      <c r="D44" s="8"/>
    </row>
    <row r="45" ht="15.75" customHeight="1">
      <c r="D45" s="8"/>
    </row>
    <row r="46" ht="15.75" customHeight="1">
      <c r="D46" s="8"/>
    </row>
    <row r="47" ht="15.75" customHeight="1">
      <c r="D47" s="8"/>
    </row>
    <row r="48" ht="15.75" customHeight="1">
      <c r="D48" s="8"/>
    </row>
    <row r="49" ht="15.75" customHeight="1">
      <c r="D49" s="8"/>
    </row>
    <row r="50" ht="15.75" customHeight="1">
      <c r="D50" s="8"/>
    </row>
    <row r="51" ht="15.75" customHeight="1">
      <c r="D51" s="8"/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8.43"/>
    <col customWidth="1" min="3" max="3" width="22.29"/>
    <col customWidth="1" min="4" max="4" width="10.43"/>
    <col customWidth="1" min="5" max="5" width="7.43"/>
    <col customWidth="1" min="6" max="6" width="10.71"/>
    <col customWidth="1" min="7" max="7" width="22.14"/>
    <col customWidth="1" min="8" max="26" width="10.71"/>
  </cols>
  <sheetData>
    <row r="1" ht="15.0" customHeight="1">
      <c r="A1" s="1" t="s">
        <v>51</v>
      </c>
      <c r="B1" s="1" t="s">
        <v>52</v>
      </c>
      <c r="C1" s="2" t="s">
        <v>53</v>
      </c>
      <c r="D1" s="3">
        <v>1.0</v>
      </c>
      <c r="E1" s="4">
        <f t="shared" ref="E1:E20" si="1">D1*100/269</f>
        <v>0.3717472119</v>
      </c>
    </row>
    <row r="2">
      <c r="A2" s="1" t="s">
        <v>27</v>
      </c>
      <c r="B2" s="1" t="s">
        <v>54</v>
      </c>
      <c r="C2" s="2" t="s">
        <v>55</v>
      </c>
      <c r="D2" s="3">
        <v>1.0</v>
      </c>
      <c r="E2" s="4">
        <f t="shared" si="1"/>
        <v>0.3717472119</v>
      </c>
    </row>
    <row r="3">
      <c r="A3" s="1" t="s">
        <v>56</v>
      </c>
      <c r="B3" s="1" t="s">
        <v>57</v>
      </c>
      <c r="C3" s="2" t="s">
        <v>58</v>
      </c>
      <c r="D3" s="3">
        <v>1.0</v>
      </c>
      <c r="E3" s="4">
        <f t="shared" si="1"/>
        <v>0.3717472119</v>
      </c>
    </row>
    <row r="4">
      <c r="A4" s="1" t="s">
        <v>6</v>
      </c>
      <c r="B4" s="1" t="s">
        <v>59</v>
      </c>
      <c r="C4" s="2" t="s">
        <v>60</v>
      </c>
      <c r="D4" s="3">
        <v>1.0</v>
      </c>
      <c r="E4" s="4">
        <f t="shared" si="1"/>
        <v>0.3717472119</v>
      </c>
    </row>
    <row r="5">
      <c r="A5" s="1" t="s">
        <v>61</v>
      </c>
      <c r="B5" s="1" t="s">
        <v>62</v>
      </c>
      <c r="C5" s="2" t="s">
        <v>63</v>
      </c>
      <c r="D5" s="3">
        <v>1.0</v>
      </c>
      <c r="E5" s="4">
        <f t="shared" si="1"/>
        <v>0.3717472119</v>
      </c>
    </row>
    <row r="6">
      <c r="A6" s="1" t="s">
        <v>37</v>
      </c>
      <c r="B6" s="1" t="s">
        <v>64</v>
      </c>
      <c r="C6" s="2" t="s">
        <v>65</v>
      </c>
      <c r="D6" s="3">
        <v>1.0</v>
      </c>
      <c r="E6" s="4">
        <f t="shared" si="1"/>
        <v>0.3717472119</v>
      </c>
    </row>
    <row r="7">
      <c r="A7" s="1" t="s">
        <v>6</v>
      </c>
      <c r="B7" s="1" t="s">
        <v>66</v>
      </c>
      <c r="C7" s="2" t="s">
        <v>67</v>
      </c>
      <c r="D7" s="3">
        <v>2.0</v>
      </c>
      <c r="E7" s="4">
        <f t="shared" si="1"/>
        <v>0.7434944238</v>
      </c>
    </row>
    <row r="8">
      <c r="A8" s="1" t="s">
        <v>68</v>
      </c>
      <c r="B8" s="1" t="s">
        <v>69</v>
      </c>
      <c r="C8" s="2" t="s">
        <v>70</v>
      </c>
      <c r="D8" s="3">
        <v>2.0</v>
      </c>
      <c r="E8" s="4">
        <f t="shared" si="1"/>
        <v>0.7434944238</v>
      </c>
    </row>
    <row r="9">
      <c r="A9" s="1" t="s">
        <v>71</v>
      </c>
      <c r="B9" s="1" t="s">
        <v>72</v>
      </c>
      <c r="C9" s="2" t="s">
        <v>73</v>
      </c>
      <c r="D9" s="3">
        <v>3.0</v>
      </c>
      <c r="E9" s="4">
        <f t="shared" si="1"/>
        <v>1.115241636</v>
      </c>
    </row>
    <row r="10">
      <c r="A10" s="1" t="s">
        <v>74</v>
      </c>
      <c r="B10" s="1" t="s">
        <v>75</v>
      </c>
      <c r="C10" s="2" t="s">
        <v>76</v>
      </c>
      <c r="D10" s="3">
        <v>4.0</v>
      </c>
      <c r="E10" s="4">
        <f t="shared" si="1"/>
        <v>1.486988848</v>
      </c>
    </row>
    <row r="11">
      <c r="A11" s="1" t="s">
        <v>37</v>
      </c>
      <c r="B11" s="1" t="s">
        <v>77</v>
      </c>
      <c r="C11" s="2" t="s">
        <v>78</v>
      </c>
      <c r="D11" s="3">
        <v>4.0</v>
      </c>
      <c r="E11" s="4">
        <f t="shared" si="1"/>
        <v>1.486988848</v>
      </c>
    </row>
    <row r="12">
      <c r="A12" s="1" t="s">
        <v>79</v>
      </c>
      <c r="B12" s="1" t="s">
        <v>80</v>
      </c>
      <c r="C12" s="2" t="s">
        <v>81</v>
      </c>
      <c r="D12" s="3">
        <v>5.0</v>
      </c>
      <c r="E12" s="4">
        <f t="shared" si="1"/>
        <v>1.858736059</v>
      </c>
    </row>
    <row r="13">
      <c r="A13" s="1" t="s">
        <v>71</v>
      </c>
      <c r="B13" s="1" t="s">
        <v>82</v>
      </c>
      <c r="C13" s="2" t="s">
        <v>83</v>
      </c>
      <c r="D13" s="3">
        <v>6.0</v>
      </c>
      <c r="E13" s="4">
        <f t="shared" si="1"/>
        <v>2.230483271</v>
      </c>
    </row>
    <row r="14">
      <c r="A14" s="1" t="s">
        <v>6</v>
      </c>
      <c r="B14" s="1" t="s">
        <v>84</v>
      </c>
      <c r="C14" s="2" t="s">
        <v>85</v>
      </c>
      <c r="D14" s="3">
        <v>7.0</v>
      </c>
      <c r="E14" s="4">
        <f t="shared" si="1"/>
        <v>2.602230483</v>
      </c>
    </row>
    <row r="15">
      <c r="A15" s="1" t="s">
        <v>0</v>
      </c>
      <c r="B15" s="1" t="s">
        <v>86</v>
      </c>
      <c r="C15" s="2" t="s">
        <v>87</v>
      </c>
      <c r="D15" s="3">
        <v>8.0</v>
      </c>
      <c r="E15" s="4">
        <f t="shared" si="1"/>
        <v>2.973977695</v>
      </c>
    </row>
    <row r="16">
      <c r="A16" s="1" t="s">
        <v>24</v>
      </c>
      <c r="B16" s="1" t="s">
        <v>88</v>
      </c>
      <c r="C16" s="2" t="s">
        <v>89</v>
      </c>
      <c r="D16" s="3">
        <v>10.0</v>
      </c>
      <c r="E16" s="4">
        <f t="shared" si="1"/>
        <v>3.717472119</v>
      </c>
    </row>
    <row r="17">
      <c r="A17" s="1" t="s">
        <v>90</v>
      </c>
      <c r="B17" s="1" t="s">
        <v>91</v>
      </c>
      <c r="C17" s="2" t="s">
        <v>92</v>
      </c>
      <c r="D17" s="3">
        <v>29.0</v>
      </c>
      <c r="E17" s="4">
        <f t="shared" si="1"/>
        <v>10.78066914</v>
      </c>
    </row>
    <row r="18">
      <c r="A18" s="1" t="s">
        <v>24</v>
      </c>
      <c r="B18" s="1" t="s">
        <v>93</v>
      </c>
      <c r="C18" s="2" t="s">
        <v>94</v>
      </c>
      <c r="D18" s="3">
        <v>34.0</v>
      </c>
      <c r="E18" s="4">
        <f t="shared" si="1"/>
        <v>12.6394052</v>
      </c>
    </row>
    <row r="19">
      <c r="A19" s="1" t="s">
        <v>95</v>
      </c>
      <c r="B19" s="1" t="s">
        <v>96</v>
      </c>
      <c r="C19" s="2" t="s">
        <v>97</v>
      </c>
      <c r="D19" s="3">
        <v>59.0</v>
      </c>
      <c r="E19" s="4">
        <f t="shared" si="1"/>
        <v>21.9330855</v>
      </c>
    </row>
    <row r="20">
      <c r="A20" s="1" t="s">
        <v>74</v>
      </c>
      <c r="B20" s="1" t="s">
        <v>98</v>
      </c>
      <c r="C20" s="2" t="s">
        <v>99</v>
      </c>
      <c r="D20" s="3">
        <v>90.0</v>
      </c>
      <c r="E20" s="4">
        <f t="shared" si="1"/>
        <v>33.45724907</v>
      </c>
    </row>
    <row r="21" ht="15.75" customHeight="1">
      <c r="A21" s="6" t="s">
        <v>42</v>
      </c>
      <c r="B21" s="6" t="s">
        <v>44</v>
      </c>
      <c r="C21" s="6" t="s">
        <v>43</v>
      </c>
      <c r="D21" s="7" t="s">
        <v>45</v>
      </c>
      <c r="E21" s="7" t="s">
        <v>46</v>
      </c>
    </row>
    <row r="22" ht="15.75" customHeight="1">
      <c r="A22" s="1"/>
      <c r="B22" s="1"/>
      <c r="C22" s="6" t="s">
        <v>47</v>
      </c>
      <c r="D22" s="3">
        <f>SUM(D2:D21)</f>
        <v>268</v>
      </c>
      <c r="E22" s="1"/>
    </row>
    <row r="23" ht="15.75" customHeight="1">
      <c r="D23" s="8"/>
    </row>
    <row r="24" ht="15.75" customHeight="1">
      <c r="D24" s="8"/>
    </row>
    <row r="25" ht="15.75" customHeight="1">
      <c r="D25" s="8"/>
    </row>
    <row r="26" ht="15.75" customHeight="1">
      <c r="D26" s="8"/>
    </row>
    <row r="27" ht="15.75" customHeight="1">
      <c r="D27" s="8"/>
    </row>
    <row r="28" ht="15.75" customHeight="1">
      <c r="D28" s="8"/>
    </row>
    <row r="29" ht="15.75" customHeight="1">
      <c r="D29" s="8"/>
    </row>
    <row r="30" ht="15.75" customHeight="1">
      <c r="D30" s="8"/>
    </row>
    <row r="31" ht="15.75" customHeight="1">
      <c r="D31" s="8"/>
    </row>
    <row r="32" ht="15.75" customHeight="1">
      <c r="D32" s="8"/>
    </row>
    <row r="33" ht="15.75" customHeight="1">
      <c r="D33" s="8"/>
    </row>
    <row r="34" ht="15.75" customHeight="1">
      <c r="D34" s="8"/>
    </row>
    <row r="35" ht="15.75" customHeight="1">
      <c r="D35" s="8"/>
    </row>
    <row r="36" ht="15.75" customHeight="1">
      <c r="D36" s="8"/>
    </row>
    <row r="37" ht="15.75" customHeight="1">
      <c r="D37" s="8"/>
    </row>
    <row r="38" ht="15.75" customHeight="1">
      <c r="D38" s="8"/>
    </row>
    <row r="39" ht="15.75" customHeight="1">
      <c r="D39" s="8"/>
    </row>
    <row r="40" ht="15.75" customHeight="1">
      <c r="D40" s="8"/>
    </row>
    <row r="41" ht="15.75" customHeight="1">
      <c r="D41" s="8"/>
    </row>
    <row r="42" ht="15.75" customHeight="1">
      <c r="D42" s="8"/>
    </row>
    <row r="43" ht="15.75" customHeight="1">
      <c r="D43" s="8"/>
    </row>
    <row r="44" ht="15.75" customHeight="1">
      <c r="D44" s="8"/>
    </row>
    <row r="45" ht="15.75" customHeight="1">
      <c r="D45" s="8"/>
    </row>
    <row r="46" ht="15.75" customHeight="1">
      <c r="D46" s="8"/>
    </row>
    <row r="47" ht="15.75" customHeight="1">
      <c r="D47" s="8"/>
    </row>
    <row r="48" ht="15.75" customHeight="1">
      <c r="D48" s="8"/>
    </row>
    <row r="49" ht="15.75" customHeight="1">
      <c r="D49" s="8"/>
    </row>
    <row r="50" ht="15.75" customHeight="1">
      <c r="D50" s="8"/>
    </row>
    <row r="51" ht="15.75" customHeight="1">
      <c r="D51" s="8"/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2.43"/>
    <col customWidth="1" min="12" max="13" width="10.71"/>
    <col customWidth="1" min="14" max="14" width="12.57"/>
    <col customWidth="1" min="15" max="26" width="10.71"/>
  </cols>
  <sheetData>
    <row r="2">
      <c r="B2" s="9"/>
      <c r="C2" s="9"/>
      <c r="D2" s="9"/>
      <c r="E2" s="9"/>
      <c r="F2" s="9"/>
      <c r="J2" s="9" t="s">
        <v>42</v>
      </c>
      <c r="K2" s="9" t="s">
        <v>100</v>
      </c>
      <c r="L2" s="9" t="s">
        <v>45</v>
      </c>
      <c r="N2" s="9" t="s">
        <v>43</v>
      </c>
    </row>
    <row r="3">
      <c r="B3" s="9"/>
      <c r="C3" s="9"/>
      <c r="D3" s="9"/>
      <c r="E3" s="9"/>
      <c r="F3" s="9"/>
      <c r="G3" s="11"/>
      <c r="J3" s="9" t="s">
        <v>51</v>
      </c>
      <c r="K3" s="9" t="s">
        <v>52</v>
      </c>
      <c r="L3" s="9">
        <v>1.0</v>
      </c>
      <c r="M3" s="11">
        <f t="shared" ref="M3:M22" si="1">L3*100/269</f>
        <v>0.3717472119</v>
      </c>
      <c r="N3" s="9" t="s">
        <v>53</v>
      </c>
    </row>
    <row r="4">
      <c r="B4" s="12"/>
      <c r="C4" s="9"/>
      <c r="D4" s="9"/>
      <c r="E4" s="9"/>
      <c r="F4" s="9"/>
      <c r="G4" s="11"/>
      <c r="J4" s="9" t="s">
        <v>0</v>
      </c>
      <c r="K4" s="9" t="s">
        <v>86</v>
      </c>
      <c r="L4" s="9">
        <v>8.0</v>
      </c>
      <c r="M4" s="11">
        <f t="shared" si="1"/>
        <v>2.973977695</v>
      </c>
      <c r="N4" s="9" t="s">
        <v>87</v>
      </c>
    </row>
    <row r="5">
      <c r="B5" s="12"/>
      <c r="C5" s="9"/>
      <c r="D5" s="9"/>
      <c r="E5" s="9"/>
      <c r="F5" s="9"/>
      <c r="G5" s="11"/>
      <c r="J5" s="9" t="s">
        <v>27</v>
      </c>
      <c r="K5" s="9" t="s">
        <v>54</v>
      </c>
      <c r="L5" s="9">
        <v>1.0</v>
      </c>
      <c r="M5" s="11">
        <f t="shared" si="1"/>
        <v>0.3717472119</v>
      </c>
      <c r="N5" s="9" t="s">
        <v>55</v>
      </c>
    </row>
    <row r="6">
      <c r="B6" s="12"/>
      <c r="C6" s="9"/>
      <c r="D6" s="9"/>
      <c r="E6" s="9"/>
      <c r="F6" s="9"/>
      <c r="G6" s="11"/>
      <c r="J6" s="9" t="s">
        <v>56</v>
      </c>
      <c r="K6" s="9" t="s">
        <v>57</v>
      </c>
      <c r="L6" s="9">
        <v>1.0</v>
      </c>
      <c r="M6" s="11">
        <f t="shared" si="1"/>
        <v>0.3717472119</v>
      </c>
      <c r="N6" s="9" t="s">
        <v>58</v>
      </c>
    </row>
    <row r="7">
      <c r="B7" s="12"/>
      <c r="C7" s="9"/>
      <c r="D7" s="9"/>
      <c r="E7" s="9"/>
      <c r="F7" s="9"/>
      <c r="G7" s="11"/>
      <c r="J7" s="9" t="s">
        <v>24</v>
      </c>
      <c r="K7" s="9" t="s">
        <v>88</v>
      </c>
      <c r="L7" s="9">
        <v>10.0</v>
      </c>
      <c r="M7" s="11">
        <f t="shared" si="1"/>
        <v>3.717472119</v>
      </c>
      <c r="N7" s="9" t="s">
        <v>89</v>
      </c>
    </row>
    <row r="8">
      <c r="B8" s="12"/>
      <c r="C8" s="12"/>
      <c r="D8" s="9"/>
      <c r="E8" s="9"/>
      <c r="F8" s="9"/>
      <c r="G8" s="11"/>
      <c r="J8" s="12"/>
      <c r="K8" s="9" t="s">
        <v>93</v>
      </c>
      <c r="L8" s="9">
        <v>34.0</v>
      </c>
      <c r="M8" s="11">
        <f t="shared" si="1"/>
        <v>12.6394052</v>
      </c>
      <c r="N8" s="9" t="s">
        <v>94</v>
      </c>
    </row>
    <row r="9">
      <c r="B9" s="12"/>
      <c r="C9" s="9"/>
      <c r="D9" s="9"/>
      <c r="E9" s="9"/>
      <c r="F9" s="9"/>
      <c r="G9" s="11"/>
      <c r="J9" s="9" t="s">
        <v>6</v>
      </c>
      <c r="K9" s="9" t="s">
        <v>84</v>
      </c>
      <c r="L9" s="9">
        <v>7.0</v>
      </c>
      <c r="M9" s="11">
        <f t="shared" si="1"/>
        <v>2.602230483</v>
      </c>
      <c r="N9" s="9" t="s">
        <v>85</v>
      </c>
    </row>
    <row r="10">
      <c r="B10" s="12"/>
      <c r="C10" s="12"/>
      <c r="D10" s="9"/>
      <c r="E10" s="9"/>
      <c r="F10" s="9"/>
      <c r="G10" s="11"/>
      <c r="J10" s="12"/>
      <c r="K10" s="9" t="s">
        <v>66</v>
      </c>
      <c r="L10" s="9">
        <v>2.0</v>
      </c>
      <c r="M10" s="11">
        <f t="shared" si="1"/>
        <v>0.7434944238</v>
      </c>
      <c r="N10" s="9" t="s">
        <v>67</v>
      </c>
    </row>
    <row r="11">
      <c r="B11" s="12"/>
      <c r="C11" s="12"/>
      <c r="D11" s="9"/>
      <c r="E11" s="9"/>
      <c r="F11" s="9"/>
      <c r="G11" s="11"/>
      <c r="J11" s="12"/>
      <c r="K11" s="9" t="s">
        <v>59</v>
      </c>
      <c r="L11" s="9">
        <v>1.0</v>
      </c>
      <c r="M11" s="11">
        <f t="shared" si="1"/>
        <v>0.3717472119</v>
      </c>
      <c r="N11" s="9" t="s">
        <v>60</v>
      </c>
    </row>
    <row r="12">
      <c r="B12" s="12"/>
      <c r="C12" s="9"/>
      <c r="D12" s="9"/>
      <c r="E12" s="9"/>
      <c r="F12" s="9"/>
      <c r="G12" s="11"/>
      <c r="J12" s="9" t="s">
        <v>79</v>
      </c>
      <c r="K12" s="9" t="s">
        <v>80</v>
      </c>
      <c r="L12" s="9">
        <v>5.0</v>
      </c>
      <c r="M12" s="11">
        <f t="shared" si="1"/>
        <v>1.858736059</v>
      </c>
      <c r="N12" s="9" t="s">
        <v>81</v>
      </c>
    </row>
    <row r="13">
      <c r="B13" s="12"/>
      <c r="C13" s="9"/>
      <c r="D13" s="9"/>
      <c r="E13" s="9"/>
      <c r="F13" s="9"/>
      <c r="G13" s="11"/>
      <c r="J13" s="9" t="s">
        <v>90</v>
      </c>
      <c r="K13" s="9" t="s">
        <v>91</v>
      </c>
      <c r="L13" s="9">
        <v>29.0</v>
      </c>
      <c r="M13" s="11">
        <f t="shared" si="1"/>
        <v>10.78066914</v>
      </c>
      <c r="N13" s="9" t="s">
        <v>92</v>
      </c>
    </row>
    <row r="14">
      <c r="B14" s="12"/>
      <c r="C14" s="9"/>
      <c r="D14" s="9"/>
      <c r="E14" s="9"/>
      <c r="F14" s="9"/>
      <c r="G14" s="11"/>
      <c r="J14" s="9" t="s">
        <v>74</v>
      </c>
      <c r="K14" s="9" t="s">
        <v>75</v>
      </c>
      <c r="L14" s="9">
        <v>4.0</v>
      </c>
      <c r="M14" s="11">
        <f t="shared" si="1"/>
        <v>1.486988848</v>
      </c>
      <c r="N14" s="9" t="s">
        <v>76</v>
      </c>
    </row>
    <row r="15">
      <c r="B15" s="12"/>
      <c r="C15" s="12"/>
      <c r="D15" s="9"/>
      <c r="E15" s="9"/>
      <c r="F15" s="9"/>
      <c r="G15" s="11"/>
      <c r="J15" s="12"/>
      <c r="K15" s="9" t="s">
        <v>98</v>
      </c>
      <c r="L15" s="9">
        <v>90.0</v>
      </c>
      <c r="M15" s="11">
        <f t="shared" si="1"/>
        <v>33.45724907</v>
      </c>
      <c r="N15" s="9" t="s">
        <v>99</v>
      </c>
    </row>
    <row r="16">
      <c r="B16" s="12"/>
      <c r="C16" s="9"/>
      <c r="D16" s="9"/>
      <c r="E16" s="9"/>
      <c r="F16" s="9"/>
      <c r="G16" s="11"/>
      <c r="J16" s="9" t="s">
        <v>61</v>
      </c>
      <c r="K16" s="9" t="s">
        <v>62</v>
      </c>
      <c r="L16" s="9">
        <v>1.0</v>
      </c>
      <c r="M16" s="11">
        <f t="shared" si="1"/>
        <v>0.3717472119</v>
      </c>
      <c r="N16" s="9" t="s">
        <v>63</v>
      </c>
    </row>
    <row r="17">
      <c r="B17" s="12"/>
      <c r="C17" s="9"/>
      <c r="D17" s="9"/>
      <c r="E17" s="9"/>
      <c r="F17" s="9"/>
      <c r="G17" s="11"/>
      <c r="J17" s="9" t="s">
        <v>68</v>
      </c>
      <c r="K17" s="9" t="s">
        <v>69</v>
      </c>
      <c r="L17" s="9">
        <v>2.0</v>
      </c>
      <c r="M17" s="11">
        <f t="shared" si="1"/>
        <v>0.7434944238</v>
      </c>
      <c r="N17" s="9" t="s">
        <v>70</v>
      </c>
    </row>
    <row r="18">
      <c r="B18" s="12"/>
      <c r="C18" s="9"/>
      <c r="D18" s="9"/>
      <c r="E18" s="9"/>
      <c r="F18" s="9"/>
      <c r="G18" s="11"/>
      <c r="J18" s="9" t="s">
        <v>95</v>
      </c>
      <c r="K18" s="9" t="s">
        <v>96</v>
      </c>
      <c r="L18" s="9">
        <v>59.0</v>
      </c>
      <c r="M18" s="11">
        <f t="shared" si="1"/>
        <v>21.9330855</v>
      </c>
      <c r="N18" s="9" t="s">
        <v>97</v>
      </c>
    </row>
    <row r="19">
      <c r="B19" s="12"/>
      <c r="C19" s="9"/>
      <c r="D19" s="9"/>
      <c r="E19" s="9"/>
      <c r="F19" s="9"/>
      <c r="G19" s="11"/>
      <c r="J19" s="9" t="s">
        <v>71</v>
      </c>
      <c r="K19" s="9" t="s">
        <v>101</v>
      </c>
      <c r="L19" s="9">
        <v>6.0</v>
      </c>
      <c r="M19" s="11">
        <f t="shared" si="1"/>
        <v>2.230483271</v>
      </c>
      <c r="N19" s="9" t="s">
        <v>83</v>
      </c>
    </row>
    <row r="20">
      <c r="B20" s="12"/>
      <c r="C20" s="12"/>
      <c r="D20" s="9"/>
      <c r="E20" s="9"/>
      <c r="F20" s="9"/>
      <c r="G20" s="11"/>
      <c r="J20" s="12"/>
      <c r="K20" s="9" t="s">
        <v>102</v>
      </c>
      <c r="L20" s="9">
        <v>3.0</v>
      </c>
      <c r="M20" s="11">
        <f t="shared" si="1"/>
        <v>1.115241636</v>
      </c>
      <c r="N20" s="9" t="s">
        <v>73</v>
      </c>
    </row>
    <row r="21" ht="15.75" customHeight="1">
      <c r="B21" s="12"/>
      <c r="C21" s="9"/>
      <c r="D21" s="9"/>
      <c r="E21" s="9"/>
      <c r="F21" s="9"/>
      <c r="G21" s="11"/>
      <c r="J21" s="13" t="s">
        <v>37</v>
      </c>
      <c r="K21" s="9" t="s">
        <v>103</v>
      </c>
      <c r="L21" s="9">
        <v>1.0</v>
      </c>
      <c r="M21" s="11">
        <f t="shared" si="1"/>
        <v>0.3717472119</v>
      </c>
      <c r="N21" s="9" t="s">
        <v>65</v>
      </c>
    </row>
    <row r="22" ht="15.75" customHeight="1">
      <c r="B22" s="9"/>
      <c r="C22" s="14"/>
      <c r="D22" s="14"/>
      <c r="E22" s="14"/>
      <c r="F22" s="9"/>
      <c r="J22" s="15"/>
      <c r="K22" s="9" t="s">
        <v>78</v>
      </c>
      <c r="L22" s="9">
        <v>4.0</v>
      </c>
      <c r="M22" s="11">
        <f t="shared" si="1"/>
        <v>1.486988848</v>
      </c>
      <c r="N22" s="9" t="s">
        <v>77</v>
      </c>
    </row>
    <row r="23" ht="15.75" customHeight="1">
      <c r="L23" s="16">
        <f>SUM(L3:L22)</f>
        <v>269</v>
      </c>
    </row>
    <row r="24" ht="15.75" customHeight="1"/>
    <row r="25" ht="15.75" customHeight="1"/>
    <row r="26" ht="15.75" customHeight="1"/>
    <row r="27" ht="15.75" customHeight="1"/>
    <row r="28" ht="15.75" customHeight="1">
      <c r="D28" s="9" t="s">
        <v>104</v>
      </c>
      <c r="E28" s="9" t="s">
        <v>0</v>
      </c>
      <c r="F28" s="9" t="s">
        <v>1</v>
      </c>
      <c r="G28" s="9" t="s">
        <v>2</v>
      </c>
      <c r="H28" s="9">
        <v>1.0</v>
      </c>
      <c r="I28" s="11">
        <f t="shared" ref="I28:I42" si="2">H28*100/203</f>
        <v>0.4926108374</v>
      </c>
    </row>
    <row r="29" ht="15.75" customHeight="1">
      <c r="D29" s="12"/>
      <c r="E29" s="9" t="s">
        <v>30</v>
      </c>
      <c r="F29" s="9" t="s">
        <v>31</v>
      </c>
      <c r="G29" s="9" t="s">
        <v>14</v>
      </c>
      <c r="H29" s="9">
        <v>6.0</v>
      </c>
      <c r="I29" s="11">
        <f t="shared" si="2"/>
        <v>2.955665025</v>
      </c>
    </row>
    <row r="30" ht="15.75" customHeight="1">
      <c r="D30" s="12"/>
      <c r="E30" s="9" t="s">
        <v>18</v>
      </c>
      <c r="F30" s="9" t="s">
        <v>19</v>
      </c>
      <c r="G30" s="9" t="s">
        <v>105</v>
      </c>
      <c r="H30" s="9">
        <v>3.0</v>
      </c>
      <c r="I30" s="11">
        <f t="shared" si="2"/>
        <v>1.477832512</v>
      </c>
    </row>
    <row r="31" ht="15.75" customHeight="1">
      <c r="D31" s="12"/>
      <c r="E31" s="9" t="s">
        <v>27</v>
      </c>
      <c r="F31" s="9" t="s">
        <v>28</v>
      </c>
      <c r="G31" s="9" t="s">
        <v>106</v>
      </c>
      <c r="H31" s="9">
        <v>5.0</v>
      </c>
      <c r="I31" s="11">
        <f t="shared" si="2"/>
        <v>2.463054187</v>
      </c>
    </row>
    <row r="32" ht="15.75" customHeight="1">
      <c r="D32" s="12"/>
      <c r="E32" s="9" t="s">
        <v>3</v>
      </c>
      <c r="F32" s="9" t="s">
        <v>4</v>
      </c>
      <c r="G32" s="9" t="s">
        <v>5</v>
      </c>
      <c r="H32" s="9">
        <v>1.0</v>
      </c>
      <c r="I32" s="11">
        <f t="shared" si="2"/>
        <v>0.4926108374</v>
      </c>
    </row>
    <row r="33" ht="15.75" customHeight="1">
      <c r="D33" s="12"/>
      <c r="E33" s="9" t="s">
        <v>21</v>
      </c>
      <c r="F33" s="9" t="s">
        <v>22</v>
      </c>
      <c r="G33" s="9" t="s">
        <v>23</v>
      </c>
      <c r="H33" s="9">
        <v>3.0</v>
      </c>
      <c r="I33" s="11">
        <f t="shared" si="2"/>
        <v>1.477832512</v>
      </c>
    </row>
    <row r="34" ht="15.75" customHeight="1">
      <c r="D34" s="12"/>
      <c r="E34" s="9" t="s">
        <v>32</v>
      </c>
      <c r="F34" s="9" t="s">
        <v>33</v>
      </c>
      <c r="G34" s="9" t="s">
        <v>107</v>
      </c>
      <c r="H34" s="9">
        <v>9.0</v>
      </c>
      <c r="I34" s="11">
        <f t="shared" si="2"/>
        <v>4.433497537</v>
      </c>
    </row>
    <row r="35" ht="15.75" customHeight="1">
      <c r="D35" s="12"/>
      <c r="E35" s="9" t="s">
        <v>24</v>
      </c>
      <c r="F35" s="9" t="s">
        <v>25</v>
      </c>
      <c r="G35" s="9" t="s">
        <v>108</v>
      </c>
      <c r="H35" s="9">
        <v>4.0</v>
      </c>
      <c r="I35" s="11">
        <f t="shared" si="2"/>
        <v>1.97044335</v>
      </c>
    </row>
    <row r="36" ht="15.75" customHeight="1">
      <c r="D36" s="12"/>
      <c r="E36" s="9" t="s">
        <v>6</v>
      </c>
      <c r="F36" s="9" t="s">
        <v>40</v>
      </c>
      <c r="G36" s="9" t="s">
        <v>41</v>
      </c>
      <c r="H36" s="9">
        <v>128.0</v>
      </c>
      <c r="I36" s="11">
        <f t="shared" si="2"/>
        <v>63.05418719</v>
      </c>
    </row>
    <row r="37" ht="15.75" customHeight="1">
      <c r="D37" s="12"/>
      <c r="E37" s="12"/>
      <c r="F37" s="9" t="s">
        <v>7</v>
      </c>
      <c r="G37" s="9" t="s">
        <v>109</v>
      </c>
      <c r="H37" s="9">
        <v>1.0</v>
      </c>
      <c r="I37" s="11">
        <f t="shared" si="2"/>
        <v>0.4926108374</v>
      </c>
    </row>
    <row r="38" ht="15.75" customHeight="1">
      <c r="D38" s="12"/>
      <c r="E38" s="9" t="s">
        <v>9</v>
      </c>
      <c r="F38" s="9" t="s">
        <v>10</v>
      </c>
      <c r="G38" s="9" t="s">
        <v>11</v>
      </c>
      <c r="H38" s="9">
        <v>1.0</v>
      </c>
      <c r="I38" s="11">
        <f t="shared" si="2"/>
        <v>0.4926108374</v>
      </c>
    </row>
    <row r="39" ht="15.75" customHeight="1">
      <c r="D39" s="12"/>
      <c r="E39" s="12"/>
      <c r="F39" s="9" t="s">
        <v>35</v>
      </c>
      <c r="G39" s="9" t="s">
        <v>36</v>
      </c>
      <c r="H39" s="9">
        <v>12.0</v>
      </c>
      <c r="I39" s="11">
        <f t="shared" si="2"/>
        <v>5.911330049</v>
      </c>
    </row>
    <row r="40" ht="15.75" customHeight="1">
      <c r="D40" s="12"/>
      <c r="E40" s="9" t="s">
        <v>15</v>
      </c>
      <c r="F40" s="9" t="s">
        <v>16</v>
      </c>
      <c r="G40" s="9" t="s">
        <v>17</v>
      </c>
      <c r="H40" s="9">
        <v>2.0</v>
      </c>
      <c r="I40" s="11">
        <f t="shared" si="2"/>
        <v>0.9852216749</v>
      </c>
    </row>
    <row r="41" ht="15.75" customHeight="1">
      <c r="D41" s="12"/>
      <c r="E41" s="9" t="s">
        <v>12</v>
      </c>
      <c r="F41" s="9" t="s">
        <v>13</v>
      </c>
      <c r="G41" s="9" t="s">
        <v>110</v>
      </c>
      <c r="H41" s="9">
        <v>1.0</v>
      </c>
      <c r="I41" s="11">
        <f t="shared" si="2"/>
        <v>0.4926108374</v>
      </c>
    </row>
    <row r="42" ht="15.75" customHeight="1">
      <c r="D42" s="12"/>
      <c r="E42" s="9" t="s">
        <v>37</v>
      </c>
      <c r="F42" s="9" t="s">
        <v>38</v>
      </c>
      <c r="G42" s="9" t="s">
        <v>111</v>
      </c>
      <c r="H42" s="9">
        <v>26.0</v>
      </c>
      <c r="I42" s="11">
        <f t="shared" si="2"/>
        <v>12.80788177</v>
      </c>
    </row>
    <row r="43" ht="15.75" customHeight="1">
      <c r="D43" s="12"/>
      <c r="E43" s="12"/>
      <c r="H43" s="16">
        <f>SUM(H28:H42)</f>
        <v>203</v>
      </c>
    </row>
    <row r="44" ht="15.75" customHeight="1"/>
    <row r="45" ht="15.75" customHeight="1"/>
    <row r="46" ht="15.75" customHeight="1"/>
    <row r="47" ht="15.75" customHeight="1"/>
    <row r="48" ht="15.75" customHeight="1">
      <c r="E48" s="9" t="s">
        <v>48</v>
      </c>
      <c r="F48" s="9" t="s">
        <v>49</v>
      </c>
      <c r="G48" s="9" t="s">
        <v>112</v>
      </c>
      <c r="H48" s="9">
        <v>1089.0</v>
      </c>
      <c r="I48" s="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D57" s="9" t="s">
        <v>113</v>
      </c>
      <c r="E57" s="9" t="s">
        <v>114</v>
      </c>
      <c r="F57" s="9" t="s">
        <v>115</v>
      </c>
      <c r="G57" s="9" t="s">
        <v>116</v>
      </c>
      <c r="H57" s="9">
        <v>1.0</v>
      </c>
    </row>
    <row r="58" ht="15.75" customHeight="1">
      <c r="D58" s="12"/>
      <c r="E58" s="12"/>
      <c r="F58" s="9" t="s">
        <v>117</v>
      </c>
      <c r="G58" s="9" t="s">
        <v>62</v>
      </c>
      <c r="H58" s="9">
        <v>4.0</v>
      </c>
      <c r="J58" s="9" t="s">
        <v>114</v>
      </c>
      <c r="K58" s="9" t="s">
        <v>115</v>
      </c>
    </row>
    <row r="59" ht="15.75" customHeight="1">
      <c r="D59" s="12"/>
      <c r="E59" s="9" t="s">
        <v>118</v>
      </c>
      <c r="F59" s="9" t="s">
        <v>119</v>
      </c>
      <c r="G59" s="9" t="s">
        <v>62</v>
      </c>
      <c r="H59" s="9">
        <v>1.0</v>
      </c>
      <c r="J59" s="12"/>
      <c r="K59" s="9" t="s">
        <v>117</v>
      </c>
      <c r="L59" s="9" t="s">
        <v>116</v>
      </c>
      <c r="M59" s="9">
        <v>1.0</v>
      </c>
    </row>
    <row r="60" ht="15.75" customHeight="1">
      <c r="D60" s="12"/>
      <c r="E60" s="12"/>
      <c r="F60" s="9" t="s">
        <v>120</v>
      </c>
      <c r="G60" s="9" t="s">
        <v>121</v>
      </c>
      <c r="H60" s="9">
        <v>3.0</v>
      </c>
      <c r="J60" s="9" t="s">
        <v>118</v>
      </c>
      <c r="K60" s="9" t="s">
        <v>119</v>
      </c>
      <c r="L60" s="9" t="s">
        <v>62</v>
      </c>
      <c r="M60" s="9">
        <v>4.0</v>
      </c>
    </row>
    <row r="61" ht="15.75" customHeight="1">
      <c r="D61" s="12"/>
      <c r="E61" s="12"/>
      <c r="F61" s="9" t="s">
        <v>122</v>
      </c>
      <c r="G61" s="9" t="s">
        <v>62</v>
      </c>
      <c r="H61" s="9">
        <v>1.0</v>
      </c>
      <c r="J61" s="12"/>
      <c r="K61" s="9" t="s">
        <v>120</v>
      </c>
      <c r="L61" s="9" t="s">
        <v>62</v>
      </c>
      <c r="M61" s="9">
        <v>1.0</v>
      </c>
    </row>
    <row r="62" ht="15.75" customHeight="1">
      <c r="D62" s="12"/>
      <c r="E62" s="9" t="s">
        <v>0</v>
      </c>
      <c r="F62" s="9" t="s">
        <v>123</v>
      </c>
      <c r="G62" s="9" t="s">
        <v>124</v>
      </c>
      <c r="H62" s="9">
        <v>3.0</v>
      </c>
      <c r="J62" s="12"/>
      <c r="K62" s="9" t="s">
        <v>122</v>
      </c>
      <c r="L62" s="9" t="s">
        <v>121</v>
      </c>
      <c r="M62" s="9">
        <v>3.0</v>
      </c>
    </row>
    <row r="63" ht="15.75" customHeight="1">
      <c r="D63" s="12"/>
      <c r="E63" s="12"/>
      <c r="F63" s="9" t="s">
        <v>125</v>
      </c>
      <c r="G63" s="9" t="s">
        <v>126</v>
      </c>
      <c r="H63" s="9">
        <v>12.0</v>
      </c>
      <c r="J63" s="9" t="s">
        <v>0</v>
      </c>
      <c r="K63" s="9" t="s">
        <v>123</v>
      </c>
      <c r="L63" s="9" t="s">
        <v>62</v>
      </c>
      <c r="M63" s="9">
        <v>1.0</v>
      </c>
    </row>
    <row r="64" ht="15.75" customHeight="1">
      <c r="D64" s="12"/>
      <c r="E64" s="12"/>
      <c r="F64" s="9" t="s">
        <v>127</v>
      </c>
      <c r="G64" s="9" t="s">
        <v>128</v>
      </c>
      <c r="H64" s="9">
        <v>14.0</v>
      </c>
      <c r="J64" s="12"/>
      <c r="K64" s="9" t="s">
        <v>125</v>
      </c>
      <c r="L64" s="9" t="s">
        <v>124</v>
      </c>
      <c r="M64" s="9">
        <v>3.0</v>
      </c>
    </row>
    <row r="65" ht="15.75" customHeight="1">
      <c r="D65" s="12"/>
      <c r="E65" s="9" t="s">
        <v>30</v>
      </c>
      <c r="F65" s="9" t="s">
        <v>129</v>
      </c>
      <c r="G65" s="9" t="s">
        <v>130</v>
      </c>
      <c r="H65" s="9">
        <v>1.0</v>
      </c>
      <c r="J65" s="12"/>
      <c r="K65" s="9" t="s">
        <v>127</v>
      </c>
      <c r="L65" s="9" t="s">
        <v>126</v>
      </c>
      <c r="M65" s="9">
        <v>12.0</v>
      </c>
    </row>
    <row r="66" ht="15.75" customHeight="1">
      <c r="D66" s="12"/>
      <c r="E66" s="12"/>
      <c r="F66" s="9" t="s">
        <v>131</v>
      </c>
      <c r="G66" s="9" t="s">
        <v>132</v>
      </c>
      <c r="H66" s="9">
        <v>1.0</v>
      </c>
      <c r="J66" s="9" t="s">
        <v>30</v>
      </c>
      <c r="K66" s="9" t="s">
        <v>129</v>
      </c>
      <c r="L66" s="9" t="s">
        <v>128</v>
      </c>
      <c r="M66" s="9">
        <v>14.0</v>
      </c>
    </row>
    <row r="67" ht="15.75" customHeight="1">
      <c r="D67" s="12"/>
      <c r="E67" s="9" t="s">
        <v>133</v>
      </c>
      <c r="F67" s="9" t="s">
        <v>134</v>
      </c>
      <c r="G67" s="9" t="s">
        <v>135</v>
      </c>
      <c r="H67" s="9">
        <v>1.0</v>
      </c>
      <c r="J67" s="12"/>
      <c r="K67" s="9" t="s">
        <v>131</v>
      </c>
      <c r="L67" s="9" t="s">
        <v>130</v>
      </c>
      <c r="M67" s="9">
        <v>1.0</v>
      </c>
    </row>
    <row r="68" ht="15.75" customHeight="1">
      <c r="D68" s="12"/>
      <c r="E68" s="12"/>
      <c r="F68" s="9" t="s">
        <v>136</v>
      </c>
      <c r="G68" s="9" t="s">
        <v>137</v>
      </c>
      <c r="H68" s="9">
        <v>1.0</v>
      </c>
      <c r="J68" s="9" t="s">
        <v>133</v>
      </c>
      <c r="K68" s="9" t="s">
        <v>134</v>
      </c>
      <c r="L68" s="9" t="s">
        <v>132</v>
      </c>
      <c r="M68" s="9">
        <v>1.0</v>
      </c>
    </row>
    <row r="69" ht="15.75" customHeight="1">
      <c r="D69" s="12"/>
      <c r="E69" s="12"/>
      <c r="F69" s="9" t="s">
        <v>138</v>
      </c>
      <c r="G69" s="9" t="s">
        <v>139</v>
      </c>
      <c r="H69" s="9">
        <v>1.0</v>
      </c>
      <c r="J69" s="12"/>
      <c r="K69" s="9" t="s">
        <v>136</v>
      </c>
      <c r="L69" s="9" t="s">
        <v>135</v>
      </c>
      <c r="M69" s="9">
        <v>1.0</v>
      </c>
    </row>
    <row r="70" ht="15.75" customHeight="1">
      <c r="D70" s="12"/>
      <c r="E70" s="12"/>
      <c r="F70" s="9" t="s">
        <v>140</v>
      </c>
      <c r="G70" s="9" t="s">
        <v>62</v>
      </c>
      <c r="H70" s="9">
        <v>3.0</v>
      </c>
      <c r="J70" s="12"/>
      <c r="K70" s="9" t="s">
        <v>138</v>
      </c>
      <c r="L70" s="9" t="s">
        <v>137</v>
      </c>
      <c r="M70" s="9">
        <v>1.0</v>
      </c>
    </row>
    <row r="71" ht="15.75" customHeight="1">
      <c r="D71" s="12"/>
      <c r="E71" s="12"/>
      <c r="F71" s="9" t="s">
        <v>141</v>
      </c>
      <c r="G71" s="9" t="s">
        <v>142</v>
      </c>
      <c r="H71" s="9">
        <v>2.0</v>
      </c>
      <c r="J71" s="12"/>
      <c r="K71" s="9" t="s">
        <v>140</v>
      </c>
      <c r="L71" s="9" t="s">
        <v>139</v>
      </c>
      <c r="M71" s="9">
        <v>1.0</v>
      </c>
    </row>
    <row r="72" ht="15.75" customHeight="1">
      <c r="D72" s="12"/>
      <c r="E72" s="12"/>
      <c r="F72" s="9" t="s">
        <v>143</v>
      </c>
      <c r="G72" s="9" t="s">
        <v>62</v>
      </c>
      <c r="H72" s="9">
        <v>1.0</v>
      </c>
      <c r="J72" s="12"/>
      <c r="K72" s="9" t="s">
        <v>141</v>
      </c>
      <c r="L72" s="9" t="s">
        <v>62</v>
      </c>
      <c r="M72" s="9">
        <v>3.0</v>
      </c>
    </row>
    <row r="73" ht="15.75" customHeight="1">
      <c r="D73" s="12"/>
      <c r="E73" s="9" t="s">
        <v>144</v>
      </c>
      <c r="F73" s="9" t="s">
        <v>145</v>
      </c>
      <c r="G73" s="9" t="s">
        <v>146</v>
      </c>
      <c r="H73" s="9">
        <v>1.0</v>
      </c>
      <c r="J73" s="12"/>
      <c r="K73" s="9" t="s">
        <v>143</v>
      </c>
      <c r="L73" s="9" t="s">
        <v>142</v>
      </c>
      <c r="M73" s="9">
        <v>2.0</v>
      </c>
    </row>
    <row r="74" ht="15.75" customHeight="1">
      <c r="D74" s="12"/>
      <c r="E74" s="12"/>
      <c r="F74" s="9" t="s">
        <v>147</v>
      </c>
      <c r="G74" s="9" t="s">
        <v>148</v>
      </c>
      <c r="H74" s="9">
        <v>1.0</v>
      </c>
      <c r="J74" s="9" t="s">
        <v>144</v>
      </c>
      <c r="K74" s="9" t="s">
        <v>145</v>
      </c>
      <c r="L74" s="9" t="s">
        <v>62</v>
      </c>
      <c r="M74" s="9">
        <v>1.0</v>
      </c>
    </row>
    <row r="75" ht="15.75" customHeight="1">
      <c r="D75" s="12"/>
      <c r="E75" s="12"/>
      <c r="F75" s="9" t="s">
        <v>149</v>
      </c>
      <c r="G75" s="9" t="s">
        <v>62</v>
      </c>
      <c r="H75" s="9">
        <v>2.0</v>
      </c>
      <c r="J75" s="12"/>
      <c r="K75" s="9" t="s">
        <v>147</v>
      </c>
      <c r="L75" s="9" t="s">
        <v>146</v>
      </c>
      <c r="M75" s="9">
        <v>1.0</v>
      </c>
    </row>
    <row r="76" ht="15.75" customHeight="1">
      <c r="D76" s="12"/>
      <c r="E76" s="9" t="s">
        <v>27</v>
      </c>
      <c r="F76" s="9" t="s">
        <v>150</v>
      </c>
      <c r="G76" s="9" t="s">
        <v>151</v>
      </c>
      <c r="H76" s="9">
        <v>17.0</v>
      </c>
      <c r="J76" s="12"/>
      <c r="K76" s="9" t="s">
        <v>149</v>
      </c>
      <c r="L76" s="9" t="s">
        <v>148</v>
      </c>
      <c r="M76" s="9">
        <v>1.0</v>
      </c>
    </row>
    <row r="77" ht="15.75" customHeight="1">
      <c r="D77" s="12"/>
      <c r="E77" s="9" t="s">
        <v>152</v>
      </c>
      <c r="F77" s="9" t="s">
        <v>153</v>
      </c>
      <c r="G77" s="9" t="s">
        <v>154</v>
      </c>
      <c r="H77" s="9">
        <v>1.0</v>
      </c>
      <c r="J77" s="9" t="s">
        <v>27</v>
      </c>
      <c r="K77" s="9" t="s">
        <v>150</v>
      </c>
      <c r="L77" s="9" t="s">
        <v>62</v>
      </c>
      <c r="M77" s="9">
        <v>2.0</v>
      </c>
    </row>
    <row r="78" ht="15.75" customHeight="1">
      <c r="D78" s="12"/>
      <c r="E78" s="9" t="s">
        <v>155</v>
      </c>
      <c r="F78" s="9" t="s">
        <v>156</v>
      </c>
      <c r="G78" s="9" t="s">
        <v>62</v>
      </c>
      <c r="H78" s="9">
        <v>1.0</v>
      </c>
      <c r="J78" s="9" t="s">
        <v>152</v>
      </c>
      <c r="K78" s="9" t="s">
        <v>153</v>
      </c>
      <c r="L78" s="9" t="s">
        <v>151</v>
      </c>
      <c r="M78" s="9">
        <v>17.0</v>
      </c>
    </row>
    <row r="79" ht="15.75" customHeight="1">
      <c r="D79" s="12"/>
      <c r="E79" s="12"/>
      <c r="F79" s="9" t="s">
        <v>157</v>
      </c>
      <c r="G79" s="9" t="s">
        <v>62</v>
      </c>
      <c r="H79" s="9">
        <v>1.0</v>
      </c>
      <c r="J79" s="9" t="s">
        <v>155</v>
      </c>
      <c r="K79" s="9" t="s">
        <v>156</v>
      </c>
      <c r="L79" s="9" t="s">
        <v>154</v>
      </c>
      <c r="M79" s="9">
        <v>1.0</v>
      </c>
    </row>
    <row r="80" ht="15.75" customHeight="1">
      <c r="D80" s="12"/>
      <c r="E80" s="12"/>
      <c r="F80" s="9" t="s">
        <v>158</v>
      </c>
      <c r="G80" s="9" t="s">
        <v>159</v>
      </c>
      <c r="H80" s="9">
        <v>4.0</v>
      </c>
      <c r="J80" s="12"/>
      <c r="K80" s="9" t="s">
        <v>157</v>
      </c>
      <c r="L80" s="9" t="s">
        <v>62</v>
      </c>
      <c r="M80" s="9">
        <v>1.0</v>
      </c>
    </row>
    <row r="81" ht="15.75" customHeight="1">
      <c r="D81" s="12"/>
      <c r="E81" s="12"/>
      <c r="F81" s="9" t="s">
        <v>160</v>
      </c>
      <c r="G81" s="9" t="s">
        <v>62</v>
      </c>
      <c r="H81" s="9">
        <v>2.0</v>
      </c>
      <c r="J81" s="12"/>
      <c r="K81" s="9" t="s">
        <v>158</v>
      </c>
      <c r="L81" s="9" t="s">
        <v>62</v>
      </c>
      <c r="M81" s="9">
        <v>1.0</v>
      </c>
    </row>
    <row r="82" ht="15.75" customHeight="1">
      <c r="D82" s="12"/>
      <c r="E82" s="12"/>
      <c r="F82" s="9" t="s">
        <v>161</v>
      </c>
      <c r="G82" s="9" t="s">
        <v>162</v>
      </c>
      <c r="H82" s="9">
        <v>1.0</v>
      </c>
      <c r="J82" s="12"/>
      <c r="K82" s="9" t="s">
        <v>160</v>
      </c>
      <c r="L82" s="9" t="s">
        <v>159</v>
      </c>
      <c r="M82" s="9">
        <v>4.0</v>
      </c>
    </row>
    <row r="83" ht="15.75" customHeight="1">
      <c r="D83" s="12"/>
      <c r="E83" s="12"/>
      <c r="F83" s="9" t="s">
        <v>163</v>
      </c>
      <c r="G83" s="9" t="s">
        <v>62</v>
      </c>
      <c r="H83" s="9">
        <v>1.0</v>
      </c>
      <c r="J83" s="12"/>
      <c r="K83" s="9" t="s">
        <v>161</v>
      </c>
      <c r="L83" s="9" t="s">
        <v>62</v>
      </c>
      <c r="M83" s="9">
        <v>2.0</v>
      </c>
    </row>
    <row r="84" ht="15.75" customHeight="1">
      <c r="D84" s="12"/>
      <c r="E84" s="12"/>
      <c r="F84" s="9" t="s">
        <v>164</v>
      </c>
      <c r="G84" s="9" t="s">
        <v>165</v>
      </c>
      <c r="H84" s="9">
        <v>5.0</v>
      </c>
      <c r="J84" s="12"/>
      <c r="K84" s="9" t="s">
        <v>163</v>
      </c>
      <c r="L84" s="9" t="s">
        <v>162</v>
      </c>
      <c r="M84" s="9">
        <v>1.0</v>
      </c>
    </row>
    <row r="85" ht="15.75" customHeight="1">
      <c r="D85" s="12"/>
      <c r="E85" s="12"/>
      <c r="F85" s="9" t="s">
        <v>166</v>
      </c>
      <c r="G85" s="9" t="s">
        <v>167</v>
      </c>
      <c r="H85" s="9">
        <v>2.0</v>
      </c>
      <c r="J85" s="12"/>
      <c r="K85" s="9" t="s">
        <v>164</v>
      </c>
      <c r="L85" s="9" t="s">
        <v>62</v>
      </c>
      <c r="M85" s="9">
        <v>1.0</v>
      </c>
    </row>
    <row r="86" ht="15.75" customHeight="1">
      <c r="D86" s="12"/>
      <c r="E86" s="12"/>
      <c r="F86" s="9" t="s">
        <v>168</v>
      </c>
      <c r="G86" s="9" t="s">
        <v>62</v>
      </c>
      <c r="H86" s="9">
        <v>1.0</v>
      </c>
      <c r="J86" s="12"/>
      <c r="K86" s="9" t="s">
        <v>166</v>
      </c>
      <c r="L86" s="9" t="s">
        <v>165</v>
      </c>
      <c r="M86" s="9">
        <v>5.0</v>
      </c>
    </row>
    <row r="87" ht="15.75" customHeight="1">
      <c r="D87" s="12"/>
      <c r="E87" s="12"/>
      <c r="F87" s="9" t="s">
        <v>169</v>
      </c>
      <c r="G87" s="9" t="s">
        <v>62</v>
      </c>
      <c r="H87" s="9">
        <v>5.0</v>
      </c>
      <c r="J87" s="12"/>
      <c r="K87" s="9" t="s">
        <v>168</v>
      </c>
      <c r="L87" s="9" t="s">
        <v>167</v>
      </c>
      <c r="M87" s="9">
        <v>2.0</v>
      </c>
    </row>
    <row r="88" ht="15.75" customHeight="1">
      <c r="D88" s="12"/>
      <c r="E88" s="12"/>
      <c r="F88" s="9" t="s">
        <v>170</v>
      </c>
      <c r="G88" s="9" t="s">
        <v>171</v>
      </c>
      <c r="H88" s="9">
        <v>1.0</v>
      </c>
      <c r="J88" s="12"/>
      <c r="K88" s="9" t="s">
        <v>169</v>
      </c>
      <c r="L88" s="9" t="s">
        <v>62</v>
      </c>
      <c r="M88" s="9">
        <v>1.0</v>
      </c>
    </row>
    <row r="89" ht="15.75" customHeight="1">
      <c r="D89" s="12"/>
      <c r="E89" s="12"/>
      <c r="F89" s="9" t="s">
        <v>172</v>
      </c>
      <c r="G89" s="9" t="s">
        <v>173</v>
      </c>
      <c r="H89" s="9">
        <v>4.0</v>
      </c>
      <c r="J89" s="12"/>
      <c r="K89" s="9" t="s">
        <v>170</v>
      </c>
      <c r="L89" s="9" t="s">
        <v>62</v>
      </c>
      <c r="M89" s="9">
        <v>5.0</v>
      </c>
    </row>
    <row r="90" ht="15.75" customHeight="1">
      <c r="D90" s="12"/>
      <c r="E90" s="12"/>
      <c r="F90" s="9" t="s">
        <v>174</v>
      </c>
      <c r="G90" s="9" t="s">
        <v>62</v>
      </c>
      <c r="H90" s="9">
        <v>1.0</v>
      </c>
      <c r="J90" s="12"/>
      <c r="K90" s="9" t="s">
        <v>172</v>
      </c>
      <c r="L90" s="9" t="s">
        <v>171</v>
      </c>
      <c r="M90" s="9">
        <v>1.0</v>
      </c>
    </row>
    <row r="91" ht="15.75" customHeight="1">
      <c r="D91" s="12"/>
      <c r="E91" s="12"/>
      <c r="F91" s="9" t="s">
        <v>175</v>
      </c>
      <c r="G91" s="9" t="s">
        <v>62</v>
      </c>
      <c r="H91" s="9">
        <v>1.0</v>
      </c>
      <c r="J91" s="12"/>
      <c r="K91" s="9" t="s">
        <v>174</v>
      </c>
      <c r="L91" s="9" t="s">
        <v>173</v>
      </c>
      <c r="M91" s="9">
        <v>4.0</v>
      </c>
    </row>
    <row r="92" ht="15.75" customHeight="1">
      <c r="D92" s="12"/>
      <c r="E92" s="12"/>
      <c r="F92" s="9" t="s">
        <v>176</v>
      </c>
      <c r="G92" s="9" t="s">
        <v>62</v>
      </c>
      <c r="H92" s="9">
        <v>1.0</v>
      </c>
      <c r="J92" s="12"/>
      <c r="K92" s="9" t="s">
        <v>175</v>
      </c>
      <c r="L92" s="9" t="s">
        <v>62</v>
      </c>
      <c r="M92" s="9">
        <v>1.0</v>
      </c>
    </row>
    <row r="93" ht="15.75" customHeight="1">
      <c r="D93" s="12"/>
      <c r="E93" s="12"/>
      <c r="F93" s="9" t="s">
        <v>177</v>
      </c>
      <c r="G93" s="9" t="s">
        <v>178</v>
      </c>
      <c r="H93" s="9">
        <v>1.0</v>
      </c>
      <c r="J93" s="12"/>
      <c r="K93" s="9" t="s">
        <v>176</v>
      </c>
      <c r="L93" s="9" t="s">
        <v>62</v>
      </c>
      <c r="M93" s="9">
        <v>1.0</v>
      </c>
    </row>
    <row r="94" ht="15.75" customHeight="1">
      <c r="D94" s="12"/>
      <c r="E94" s="12"/>
      <c r="F94" s="9" t="s">
        <v>179</v>
      </c>
      <c r="G94" s="9" t="s">
        <v>180</v>
      </c>
      <c r="H94" s="9">
        <v>3.0</v>
      </c>
      <c r="J94" s="12"/>
      <c r="K94" s="9" t="s">
        <v>177</v>
      </c>
      <c r="L94" s="9" t="s">
        <v>62</v>
      </c>
      <c r="M94" s="9">
        <v>1.0</v>
      </c>
    </row>
    <row r="95" ht="15.75" customHeight="1">
      <c r="D95" s="12"/>
      <c r="E95" s="12"/>
      <c r="F95" s="9" t="s">
        <v>181</v>
      </c>
      <c r="G95" s="9" t="s">
        <v>182</v>
      </c>
      <c r="H95" s="9">
        <v>8.0</v>
      </c>
      <c r="J95" s="12"/>
      <c r="K95" s="9" t="s">
        <v>179</v>
      </c>
      <c r="L95" s="9" t="s">
        <v>178</v>
      </c>
      <c r="M95" s="9">
        <v>1.0</v>
      </c>
    </row>
    <row r="96" ht="15.75" customHeight="1">
      <c r="D96" s="12"/>
      <c r="E96" s="12"/>
      <c r="F96" s="9" t="s">
        <v>183</v>
      </c>
      <c r="G96" s="9" t="s">
        <v>184</v>
      </c>
      <c r="H96" s="9">
        <v>5.0</v>
      </c>
      <c r="J96" s="12"/>
      <c r="K96" s="9" t="s">
        <v>181</v>
      </c>
      <c r="L96" s="9" t="s">
        <v>180</v>
      </c>
      <c r="M96" s="9">
        <v>3.0</v>
      </c>
    </row>
    <row r="97" ht="15.75" customHeight="1">
      <c r="D97" s="12"/>
      <c r="E97" s="9" t="s">
        <v>185</v>
      </c>
      <c r="F97" s="9" t="s">
        <v>186</v>
      </c>
      <c r="G97" s="9" t="s">
        <v>187</v>
      </c>
      <c r="H97" s="9">
        <v>5.0</v>
      </c>
      <c r="J97" s="12"/>
      <c r="K97" s="9" t="s">
        <v>183</v>
      </c>
      <c r="L97" s="9" t="s">
        <v>182</v>
      </c>
      <c r="M97" s="9">
        <v>8.0</v>
      </c>
    </row>
    <row r="98" ht="15.75" customHeight="1">
      <c r="D98" s="12"/>
      <c r="E98" s="12"/>
      <c r="F98" s="9" t="s">
        <v>188</v>
      </c>
      <c r="G98" s="9" t="s">
        <v>62</v>
      </c>
      <c r="H98" s="9">
        <v>2.0</v>
      </c>
      <c r="J98" s="9" t="s">
        <v>185</v>
      </c>
      <c r="K98" s="9" t="s">
        <v>186</v>
      </c>
      <c r="L98" s="9" t="s">
        <v>184</v>
      </c>
      <c r="M98" s="9">
        <v>5.0</v>
      </c>
    </row>
    <row r="99" ht="15.75" customHeight="1">
      <c r="D99" s="12"/>
      <c r="E99" s="12"/>
      <c r="F99" s="9" t="s">
        <v>189</v>
      </c>
      <c r="G99" s="9" t="s">
        <v>190</v>
      </c>
      <c r="H99" s="9">
        <v>1.0</v>
      </c>
      <c r="J99" s="12"/>
      <c r="K99" s="9" t="s">
        <v>188</v>
      </c>
      <c r="L99" s="9" t="s">
        <v>187</v>
      </c>
      <c r="M99" s="9">
        <v>5.0</v>
      </c>
    </row>
    <row r="100" ht="15.75" customHeight="1">
      <c r="D100" s="12"/>
      <c r="E100" s="12"/>
      <c r="F100" s="9" t="s">
        <v>191</v>
      </c>
      <c r="G100" s="9" t="s">
        <v>192</v>
      </c>
      <c r="H100" s="9">
        <v>14.0</v>
      </c>
      <c r="J100" s="12"/>
      <c r="K100" s="9" t="s">
        <v>189</v>
      </c>
      <c r="L100" s="9" t="s">
        <v>62</v>
      </c>
      <c r="M100" s="9">
        <v>2.0</v>
      </c>
    </row>
    <row r="101" ht="15.75" customHeight="1">
      <c r="D101" s="12"/>
      <c r="E101" s="12"/>
      <c r="F101" s="9" t="s">
        <v>193</v>
      </c>
      <c r="G101" s="9" t="s">
        <v>194</v>
      </c>
      <c r="H101" s="9">
        <v>1.0</v>
      </c>
      <c r="J101" s="12"/>
      <c r="K101" s="9" t="s">
        <v>191</v>
      </c>
      <c r="L101" s="9" t="s">
        <v>190</v>
      </c>
      <c r="M101" s="9">
        <v>1.0</v>
      </c>
    </row>
    <row r="102" ht="15.75" customHeight="1">
      <c r="D102" s="12"/>
      <c r="E102" s="12"/>
      <c r="F102" s="9" t="s">
        <v>195</v>
      </c>
      <c r="G102" s="9" t="s">
        <v>196</v>
      </c>
      <c r="H102" s="9">
        <v>4.0</v>
      </c>
      <c r="J102" s="12"/>
      <c r="K102" s="9" t="s">
        <v>193</v>
      </c>
      <c r="L102" s="9" t="s">
        <v>192</v>
      </c>
      <c r="M102" s="9">
        <v>14.0</v>
      </c>
    </row>
    <row r="103" ht="15.75" customHeight="1">
      <c r="D103" s="12"/>
      <c r="E103" s="9" t="s">
        <v>3</v>
      </c>
      <c r="F103" s="9" t="s">
        <v>197</v>
      </c>
      <c r="G103" s="9" t="s">
        <v>198</v>
      </c>
      <c r="H103" s="9">
        <v>3.0</v>
      </c>
      <c r="J103" s="12"/>
      <c r="K103" s="9" t="s">
        <v>195</v>
      </c>
      <c r="L103" s="9" t="s">
        <v>194</v>
      </c>
      <c r="M103" s="9">
        <v>1.0</v>
      </c>
    </row>
    <row r="104" ht="15.75" customHeight="1">
      <c r="D104" s="12"/>
      <c r="E104" s="9" t="s">
        <v>199</v>
      </c>
      <c r="F104" s="9" t="s">
        <v>200</v>
      </c>
      <c r="G104" s="9" t="s">
        <v>201</v>
      </c>
      <c r="H104" s="9">
        <v>3.0</v>
      </c>
      <c r="J104" s="9" t="s">
        <v>3</v>
      </c>
      <c r="K104" s="9" t="s">
        <v>197</v>
      </c>
      <c r="L104" s="9" t="s">
        <v>196</v>
      </c>
      <c r="M104" s="9">
        <v>4.0</v>
      </c>
    </row>
    <row r="105" ht="15.75" customHeight="1">
      <c r="D105" s="12"/>
      <c r="E105" s="12"/>
      <c r="F105" s="9" t="s">
        <v>202</v>
      </c>
      <c r="G105" s="9" t="s">
        <v>203</v>
      </c>
      <c r="H105" s="9">
        <v>32.0</v>
      </c>
      <c r="J105" s="9" t="s">
        <v>199</v>
      </c>
      <c r="K105" s="9" t="s">
        <v>200</v>
      </c>
      <c r="L105" s="9" t="s">
        <v>198</v>
      </c>
      <c r="M105" s="9">
        <v>3.0</v>
      </c>
    </row>
    <row r="106" ht="15.75" customHeight="1">
      <c r="D106" s="12"/>
      <c r="E106" s="12"/>
      <c r="F106" s="9" t="s">
        <v>204</v>
      </c>
      <c r="G106" s="9" t="s">
        <v>205</v>
      </c>
      <c r="H106" s="9">
        <v>1.0</v>
      </c>
      <c r="J106" s="12"/>
      <c r="K106" s="9" t="s">
        <v>202</v>
      </c>
      <c r="L106" s="9" t="s">
        <v>201</v>
      </c>
      <c r="M106" s="9">
        <v>3.0</v>
      </c>
    </row>
    <row r="107" ht="15.75" customHeight="1">
      <c r="D107" s="12"/>
      <c r="E107" s="12"/>
      <c r="F107" s="9" t="s">
        <v>206</v>
      </c>
      <c r="G107" s="9" t="s">
        <v>207</v>
      </c>
      <c r="H107" s="9">
        <v>22.0</v>
      </c>
      <c r="J107" s="12"/>
      <c r="K107" s="9" t="s">
        <v>204</v>
      </c>
      <c r="L107" s="9" t="s">
        <v>203</v>
      </c>
      <c r="M107" s="9">
        <v>32.0</v>
      </c>
    </row>
    <row r="108" ht="15.75" customHeight="1">
      <c r="D108" s="12"/>
      <c r="E108" s="12"/>
      <c r="F108" s="9" t="s">
        <v>208</v>
      </c>
      <c r="G108" s="9" t="s">
        <v>62</v>
      </c>
      <c r="H108" s="9">
        <v>2.0</v>
      </c>
      <c r="J108" s="12"/>
      <c r="K108" s="9" t="s">
        <v>206</v>
      </c>
      <c r="L108" s="9" t="s">
        <v>205</v>
      </c>
      <c r="M108" s="9">
        <v>1.0</v>
      </c>
    </row>
    <row r="109" ht="15.75" customHeight="1">
      <c r="D109" s="12"/>
      <c r="E109" s="12"/>
      <c r="F109" s="9" t="s">
        <v>209</v>
      </c>
      <c r="G109" s="9" t="s">
        <v>210</v>
      </c>
      <c r="H109" s="9">
        <v>7.0</v>
      </c>
      <c r="J109" s="12"/>
      <c r="K109" s="9" t="s">
        <v>208</v>
      </c>
      <c r="L109" s="9" t="s">
        <v>207</v>
      </c>
      <c r="M109" s="9">
        <v>22.0</v>
      </c>
    </row>
    <row r="110" ht="15.75" customHeight="1">
      <c r="D110" s="12"/>
      <c r="E110" s="12"/>
      <c r="F110" s="9" t="s">
        <v>211</v>
      </c>
      <c r="G110" s="9" t="s">
        <v>203</v>
      </c>
      <c r="H110" s="9">
        <v>2.0</v>
      </c>
      <c r="J110" s="12"/>
      <c r="K110" s="9" t="s">
        <v>209</v>
      </c>
      <c r="L110" s="9" t="s">
        <v>62</v>
      </c>
      <c r="M110" s="9">
        <v>2.0</v>
      </c>
    </row>
    <row r="111" ht="15.75" customHeight="1">
      <c r="D111" s="12"/>
      <c r="E111" s="12"/>
      <c r="F111" s="9" t="s">
        <v>212</v>
      </c>
      <c r="G111" s="9" t="s">
        <v>205</v>
      </c>
      <c r="H111" s="9">
        <v>1.0</v>
      </c>
      <c r="J111" s="12"/>
      <c r="K111" s="9" t="s">
        <v>211</v>
      </c>
      <c r="L111" s="9" t="s">
        <v>210</v>
      </c>
      <c r="M111" s="9">
        <v>7.0</v>
      </c>
    </row>
    <row r="112" ht="15.75" customHeight="1">
      <c r="D112" s="12"/>
      <c r="E112" s="12"/>
      <c r="F112" s="9" t="s">
        <v>213</v>
      </c>
      <c r="G112" s="9" t="s">
        <v>214</v>
      </c>
      <c r="H112" s="9">
        <v>3.0</v>
      </c>
      <c r="J112" s="12"/>
      <c r="K112" s="9" t="s">
        <v>212</v>
      </c>
      <c r="L112" s="9" t="s">
        <v>203</v>
      </c>
      <c r="M112" s="9">
        <v>2.0</v>
      </c>
    </row>
    <row r="113" ht="15.75" customHeight="1">
      <c r="D113" s="12"/>
      <c r="E113" s="12"/>
      <c r="F113" s="9" t="s">
        <v>215</v>
      </c>
      <c r="G113" s="9" t="s">
        <v>216</v>
      </c>
      <c r="H113" s="9">
        <v>3.0</v>
      </c>
      <c r="J113" s="12"/>
      <c r="K113" s="9" t="s">
        <v>213</v>
      </c>
      <c r="L113" s="9" t="s">
        <v>205</v>
      </c>
      <c r="M113" s="9">
        <v>1.0</v>
      </c>
    </row>
    <row r="114" ht="15.75" customHeight="1">
      <c r="D114" s="12"/>
      <c r="E114" s="12"/>
      <c r="F114" s="9" t="s">
        <v>217</v>
      </c>
      <c r="G114" s="9" t="s">
        <v>218</v>
      </c>
      <c r="H114" s="9">
        <v>8.0</v>
      </c>
      <c r="J114" s="12"/>
      <c r="K114" s="9" t="s">
        <v>215</v>
      </c>
      <c r="L114" s="9" t="s">
        <v>214</v>
      </c>
      <c r="M114" s="9">
        <v>3.0</v>
      </c>
    </row>
    <row r="115" ht="15.75" customHeight="1">
      <c r="D115" s="12"/>
      <c r="E115" s="12"/>
      <c r="F115" s="9" t="s">
        <v>219</v>
      </c>
      <c r="G115" s="9" t="s">
        <v>220</v>
      </c>
      <c r="H115" s="9">
        <v>1.0</v>
      </c>
      <c r="J115" s="12"/>
      <c r="K115" s="9" t="s">
        <v>217</v>
      </c>
      <c r="L115" s="9" t="s">
        <v>216</v>
      </c>
      <c r="M115" s="9">
        <v>3.0</v>
      </c>
    </row>
    <row r="116" ht="15.75" customHeight="1">
      <c r="D116" s="12"/>
      <c r="E116" s="9" t="s">
        <v>21</v>
      </c>
      <c r="F116" s="9" t="s">
        <v>221</v>
      </c>
      <c r="G116" s="9" t="s">
        <v>222</v>
      </c>
      <c r="H116" s="9">
        <v>1.0</v>
      </c>
      <c r="J116" s="12"/>
      <c r="K116" s="9" t="s">
        <v>219</v>
      </c>
      <c r="L116" s="9" t="s">
        <v>218</v>
      </c>
      <c r="M116" s="9">
        <v>8.0</v>
      </c>
    </row>
    <row r="117" ht="15.75" customHeight="1">
      <c r="D117" s="12"/>
      <c r="E117" s="9" t="s">
        <v>223</v>
      </c>
      <c r="F117" s="9" t="s">
        <v>224</v>
      </c>
      <c r="G117" s="9" t="s">
        <v>225</v>
      </c>
      <c r="H117" s="9">
        <v>1.0</v>
      </c>
      <c r="J117" s="9" t="s">
        <v>21</v>
      </c>
      <c r="K117" s="9" t="s">
        <v>221</v>
      </c>
      <c r="L117" s="9" t="s">
        <v>220</v>
      </c>
      <c r="M117" s="9">
        <v>1.0</v>
      </c>
    </row>
    <row r="118" ht="15.75" customHeight="1">
      <c r="D118" s="12"/>
      <c r="E118" s="12"/>
      <c r="F118" s="9" t="s">
        <v>226</v>
      </c>
      <c r="G118" s="9" t="s">
        <v>227</v>
      </c>
      <c r="H118" s="9">
        <v>2.0</v>
      </c>
      <c r="J118" s="9" t="s">
        <v>223</v>
      </c>
      <c r="K118" s="9" t="s">
        <v>224</v>
      </c>
      <c r="L118" s="9" t="s">
        <v>222</v>
      </c>
      <c r="M118" s="9">
        <v>1.0</v>
      </c>
    </row>
    <row r="119" ht="15.75" customHeight="1">
      <c r="D119" s="12"/>
      <c r="E119" s="12"/>
      <c r="F119" s="9" t="s">
        <v>228</v>
      </c>
      <c r="G119" s="9" t="s">
        <v>229</v>
      </c>
      <c r="H119" s="9">
        <v>2.0</v>
      </c>
      <c r="J119" s="12"/>
      <c r="K119" s="9" t="s">
        <v>226</v>
      </c>
      <c r="L119" s="9" t="s">
        <v>225</v>
      </c>
      <c r="M119" s="9">
        <v>1.0</v>
      </c>
    </row>
    <row r="120" ht="15.75" customHeight="1">
      <c r="D120" s="12"/>
      <c r="E120" s="9" t="s">
        <v>230</v>
      </c>
      <c r="F120" s="9" t="s">
        <v>231</v>
      </c>
      <c r="G120" s="9" t="s">
        <v>232</v>
      </c>
      <c r="H120" s="9">
        <v>1.0</v>
      </c>
      <c r="J120" s="12"/>
      <c r="K120" s="9" t="s">
        <v>228</v>
      </c>
      <c r="L120" s="9" t="s">
        <v>227</v>
      </c>
      <c r="M120" s="9">
        <v>2.0</v>
      </c>
    </row>
    <row r="121" ht="15.75" customHeight="1">
      <c r="D121" s="12"/>
      <c r="E121" s="9" t="s">
        <v>233</v>
      </c>
      <c r="F121" s="9" t="s">
        <v>234</v>
      </c>
      <c r="G121" s="9" t="s">
        <v>62</v>
      </c>
      <c r="H121" s="9">
        <v>1.0</v>
      </c>
      <c r="J121" s="9" t="s">
        <v>230</v>
      </c>
      <c r="K121" s="9" t="s">
        <v>231</v>
      </c>
      <c r="L121" s="9" t="s">
        <v>229</v>
      </c>
      <c r="M121" s="9">
        <v>2.0</v>
      </c>
    </row>
    <row r="122" ht="15.75" customHeight="1">
      <c r="D122" s="12"/>
      <c r="E122" s="9" t="s">
        <v>235</v>
      </c>
      <c r="F122" s="9" t="s">
        <v>236</v>
      </c>
      <c r="G122" s="9" t="s">
        <v>237</v>
      </c>
      <c r="H122" s="9">
        <v>4.0</v>
      </c>
      <c r="J122" s="9" t="s">
        <v>233</v>
      </c>
      <c r="K122" s="9" t="s">
        <v>234</v>
      </c>
      <c r="L122" s="9" t="s">
        <v>232</v>
      </c>
      <c r="M122" s="9">
        <v>1.0</v>
      </c>
    </row>
    <row r="123" ht="15.75" customHeight="1">
      <c r="D123" s="12"/>
      <c r="E123" s="9" t="s">
        <v>238</v>
      </c>
      <c r="F123" s="9" t="s">
        <v>239</v>
      </c>
      <c r="G123" s="9" t="s">
        <v>240</v>
      </c>
      <c r="H123" s="9">
        <v>1.0</v>
      </c>
      <c r="J123" s="9" t="s">
        <v>235</v>
      </c>
      <c r="K123" s="9" t="s">
        <v>236</v>
      </c>
      <c r="L123" s="9" t="s">
        <v>62</v>
      </c>
      <c r="M123" s="9">
        <v>1.0</v>
      </c>
    </row>
    <row r="124" ht="15.75" customHeight="1">
      <c r="D124" s="12"/>
      <c r="E124" s="12"/>
      <c r="F124" s="9" t="s">
        <v>241</v>
      </c>
      <c r="G124" s="9" t="s">
        <v>242</v>
      </c>
      <c r="H124" s="9">
        <v>2.0</v>
      </c>
      <c r="J124" s="9" t="s">
        <v>238</v>
      </c>
      <c r="K124" s="9" t="s">
        <v>239</v>
      </c>
      <c r="L124" s="9" t="s">
        <v>237</v>
      </c>
      <c r="M124" s="9">
        <v>4.0</v>
      </c>
    </row>
    <row r="125" ht="15.75" customHeight="1">
      <c r="D125" s="12"/>
      <c r="E125" s="12"/>
      <c r="F125" s="9" t="s">
        <v>243</v>
      </c>
      <c r="G125" s="9" t="s">
        <v>244</v>
      </c>
      <c r="H125" s="9">
        <v>2.0</v>
      </c>
      <c r="J125" s="12"/>
      <c r="K125" s="9" t="s">
        <v>241</v>
      </c>
      <c r="L125" s="9" t="s">
        <v>240</v>
      </c>
      <c r="M125" s="9">
        <v>1.0</v>
      </c>
    </row>
    <row r="126" ht="15.75" customHeight="1">
      <c r="D126" s="12"/>
      <c r="E126" s="9" t="s">
        <v>245</v>
      </c>
      <c r="F126" s="9" t="s">
        <v>246</v>
      </c>
      <c r="G126" s="9" t="s">
        <v>247</v>
      </c>
      <c r="H126" s="9">
        <v>11.0</v>
      </c>
      <c r="J126" s="12"/>
      <c r="K126" s="9" t="s">
        <v>243</v>
      </c>
      <c r="L126" s="9" t="s">
        <v>242</v>
      </c>
      <c r="M126" s="9">
        <v>2.0</v>
      </c>
    </row>
    <row r="127" ht="15.75" customHeight="1">
      <c r="D127" s="12"/>
      <c r="E127" s="9" t="s">
        <v>48</v>
      </c>
      <c r="F127" s="9" t="s">
        <v>248</v>
      </c>
      <c r="G127" s="9" t="s">
        <v>249</v>
      </c>
      <c r="H127" s="9">
        <v>8.0</v>
      </c>
      <c r="J127" s="9" t="s">
        <v>245</v>
      </c>
      <c r="K127" s="9" t="s">
        <v>246</v>
      </c>
      <c r="L127" s="9" t="s">
        <v>244</v>
      </c>
      <c r="M127" s="9">
        <v>2.0</v>
      </c>
    </row>
    <row r="128" ht="15.75" customHeight="1">
      <c r="D128" s="12"/>
      <c r="E128" s="12"/>
      <c r="F128" s="9" t="s">
        <v>250</v>
      </c>
      <c r="G128" s="9" t="s">
        <v>62</v>
      </c>
      <c r="H128" s="9">
        <v>7.0</v>
      </c>
      <c r="J128" s="9" t="s">
        <v>48</v>
      </c>
      <c r="K128" s="9" t="s">
        <v>248</v>
      </c>
      <c r="L128" s="9" t="s">
        <v>247</v>
      </c>
      <c r="M128" s="9">
        <v>11.0</v>
      </c>
    </row>
    <row r="129" ht="15.75" customHeight="1">
      <c r="D129" s="12"/>
      <c r="E129" s="12"/>
      <c r="F129" s="9" t="s">
        <v>251</v>
      </c>
      <c r="G129" s="9" t="s">
        <v>62</v>
      </c>
      <c r="H129" s="9">
        <v>3.0</v>
      </c>
      <c r="J129" s="12"/>
      <c r="K129" s="9" t="s">
        <v>250</v>
      </c>
      <c r="L129" s="9" t="s">
        <v>249</v>
      </c>
      <c r="M129" s="9">
        <v>8.0</v>
      </c>
    </row>
    <row r="130" ht="15.75" customHeight="1">
      <c r="D130" s="12"/>
      <c r="E130" s="12"/>
      <c r="F130" s="9" t="s">
        <v>252</v>
      </c>
      <c r="G130" s="9" t="s">
        <v>62</v>
      </c>
      <c r="H130" s="9">
        <v>1.0</v>
      </c>
      <c r="J130" s="12"/>
      <c r="K130" s="9" t="s">
        <v>251</v>
      </c>
      <c r="L130" s="9" t="s">
        <v>62</v>
      </c>
      <c r="M130" s="9">
        <v>7.0</v>
      </c>
    </row>
    <row r="131" ht="15.75" customHeight="1">
      <c r="D131" s="12"/>
      <c r="E131" s="12"/>
      <c r="F131" s="9" t="s">
        <v>253</v>
      </c>
      <c r="G131" s="9" t="s">
        <v>62</v>
      </c>
      <c r="H131" s="9">
        <v>4.0</v>
      </c>
      <c r="J131" s="12"/>
      <c r="K131" s="9" t="s">
        <v>252</v>
      </c>
      <c r="L131" s="9" t="s">
        <v>62</v>
      </c>
      <c r="M131" s="9">
        <v>3.0</v>
      </c>
    </row>
    <row r="132" ht="15.75" customHeight="1">
      <c r="D132" s="12"/>
      <c r="E132" s="12"/>
      <c r="F132" s="9" t="s">
        <v>254</v>
      </c>
      <c r="G132" s="9" t="s">
        <v>255</v>
      </c>
      <c r="H132" s="9">
        <v>1.0</v>
      </c>
      <c r="J132" s="12"/>
      <c r="K132" s="9" t="s">
        <v>253</v>
      </c>
      <c r="L132" s="9" t="s">
        <v>62</v>
      </c>
      <c r="M132" s="9">
        <v>1.0</v>
      </c>
    </row>
    <row r="133" ht="15.75" customHeight="1">
      <c r="D133" s="12"/>
      <c r="E133" s="12"/>
      <c r="F133" s="9" t="s">
        <v>256</v>
      </c>
      <c r="G133" s="9" t="s">
        <v>62</v>
      </c>
      <c r="H133" s="9">
        <v>3.0</v>
      </c>
      <c r="J133" s="12"/>
      <c r="K133" s="9" t="s">
        <v>254</v>
      </c>
      <c r="L133" s="9" t="s">
        <v>62</v>
      </c>
      <c r="M133" s="9">
        <v>4.0</v>
      </c>
    </row>
    <row r="134" ht="15.75" customHeight="1">
      <c r="D134" s="12"/>
      <c r="E134" s="12"/>
      <c r="F134" s="9" t="s">
        <v>257</v>
      </c>
      <c r="G134" s="9" t="s">
        <v>62</v>
      </c>
      <c r="H134" s="9">
        <v>1.0</v>
      </c>
      <c r="J134" s="12"/>
      <c r="K134" s="9" t="s">
        <v>256</v>
      </c>
      <c r="L134" s="9" t="s">
        <v>255</v>
      </c>
      <c r="M134" s="9">
        <v>1.0</v>
      </c>
    </row>
    <row r="135" ht="15.75" customHeight="1">
      <c r="D135" s="12"/>
      <c r="E135" s="12"/>
      <c r="F135" s="9" t="s">
        <v>258</v>
      </c>
      <c r="G135" s="9" t="s">
        <v>62</v>
      </c>
      <c r="H135" s="9">
        <v>1.0</v>
      </c>
      <c r="J135" s="12"/>
      <c r="K135" s="9" t="s">
        <v>257</v>
      </c>
      <c r="L135" s="9" t="s">
        <v>62</v>
      </c>
      <c r="M135" s="9">
        <v>3.0</v>
      </c>
    </row>
    <row r="136" ht="15.75" customHeight="1">
      <c r="D136" s="12"/>
      <c r="E136" s="12"/>
      <c r="F136" s="9" t="s">
        <v>259</v>
      </c>
      <c r="G136" s="9" t="s">
        <v>260</v>
      </c>
      <c r="H136" s="9">
        <v>2.0</v>
      </c>
      <c r="J136" s="12"/>
      <c r="K136" s="9" t="s">
        <v>258</v>
      </c>
      <c r="L136" s="9" t="s">
        <v>62</v>
      </c>
      <c r="M136" s="9">
        <v>1.0</v>
      </c>
    </row>
    <row r="137" ht="15.75" customHeight="1">
      <c r="D137" s="12"/>
      <c r="E137" s="12"/>
      <c r="F137" s="9" t="s">
        <v>261</v>
      </c>
      <c r="G137" s="9" t="s">
        <v>262</v>
      </c>
      <c r="H137" s="9">
        <v>2.0</v>
      </c>
      <c r="J137" s="12"/>
      <c r="K137" s="9" t="s">
        <v>259</v>
      </c>
      <c r="L137" s="9" t="s">
        <v>62</v>
      </c>
      <c r="M137" s="9">
        <v>1.0</v>
      </c>
    </row>
    <row r="138" ht="15.75" customHeight="1">
      <c r="D138" s="12"/>
      <c r="E138" s="12"/>
      <c r="F138" s="9" t="s">
        <v>263</v>
      </c>
      <c r="G138" s="9" t="s">
        <v>264</v>
      </c>
      <c r="H138" s="9">
        <v>1.0</v>
      </c>
      <c r="J138" s="12"/>
      <c r="K138" s="9" t="s">
        <v>261</v>
      </c>
      <c r="L138" s="9" t="s">
        <v>260</v>
      </c>
      <c r="M138" s="9">
        <v>2.0</v>
      </c>
    </row>
    <row r="139" ht="15.75" customHeight="1">
      <c r="D139" s="12"/>
      <c r="E139" s="9" t="s">
        <v>6</v>
      </c>
      <c r="F139" s="9" t="s">
        <v>265</v>
      </c>
      <c r="G139" s="9" t="s">
        <v>266</v>
      </c>
      <c r="H139" s="9">
        <v>2.0</v>
      </c>
      <c r="J139" s="12"/>
      <c r="K139" s="9" t="s">
        <v>263</v>
      </c>
      <c r="L139" s="9" t="s">
        <v>262</v>
      </c>
      <c r="M139" s="9">
        <v>2.0</v>
      </c>
    </row>
    <row r="140" ht="15.75" customHeight="1">
      <c r="D140" s="12"/>
      <c r="E140" s="12"/>
      <c r="F140" s="9" t="s">
        <v>267</v>
      </c>
      <c r="G140" s="9" t="s">
        <v>268</v>
      </c>
      <c r="H140" s="9">
        <v>1.0</v>
      </c>
      <c r="J140" s="9" t="s">
        <v>6</v>
      </c>
      <c r="K140" s="9" t="s">
        <v>265</v>
      </c>
      <c r="L140" s="9" t="s">
        <v>264</v>
      </c>
      <c r="M140" s="9">
        <v>1.0</v>
      </c>
    </row>
    <row r="141" ht="15.75" customHeight="1">
      <c r="D141" s="12"/>
      <c r="E141" s="12"/>
      <c r="F141" s="9" t="s">
        <v>269</v>
      </c>
      <c r="G141" s="9" t="s">
        <v>62</v>
      </c>
      <c r="H141" s="9">
        <v>2.0</v>
      </c>
      <c r="J141" s="12"/>
      <c r="K141" s="9" t="s">
        <v>267</v>
      </c>
      <c r="L141" s="9" t="s">
        <v>266</v>
      </c>
      <c r="M141" s="9">
        <v>2.0</v>
      </c>
    </row>
    <row r="142" ht="15.75" customHeight="1">
      <c r="D142" s="12"/>
      <c r="E142" s="12"/>
      <c r="F142" s="9" t="s">
        <v>270</v>
      </c>
      <c r="G142" s="9" t="s">
        <v>271</v>
      </c>
      <c r="H142" s="9">
        <v>1.0</v>
      </c>
      <c r="J142" s="12"/>
      <c r="K142" s="9" t="s">
        <v>269</v>
      </c>
      <c r="L142" s="9" t="s">
        <v>268</v>
      </c>
      <c r="M142" s="9">
        <v>1.0</v>
      </c>
    </row>
    <row r="143" ht="15.75" customHeight="1">
      <c r="D143" s="12"/>
      <c r="E143" s="12"/>
      <c r="F143" s="9" t="s">
        <v>272</v>
      </c>
      <c r="G143" s="9" t="s">
        <v>273</v>
      </c>
      <c r="H143" s="9">
        <v>18.0</v>
      </c>
      <c r="J143" s="12"/>
      <c r="K143" s="9" t="s">
        <v>270</v>
      </c>
      <c r="L143" s="9" t="s">
        <v>62</v>
      </c>
      <c r="M143" s="9">
        <v>2.0</v>
      </c>
    </row>
    <row r="144" ht="15.75" customHeight="1">
      <c r="D144" s="12"/>
      <c r="E144" s="12"/>
      <c r="F144" s="9" t="s">
        <v>274</v>
      </c>
      <c r="G144" s="9" t="s">
        <v>275</v>
      </c>
      <c r="H144" s="9">
        <v>2.0</v>
      </c>
      <c r="J144" s="12"/>
      <c r="K144" s="9" t="s">
        <v>272</v>
      </c>
      <c r="L144" s="9" t="s">
        <v>271</v>
      </c>
      <c r="M144" s="9">
        <v>1.0</v>
      </c>
    </row>
    <row r="145" ht="15.75" customHeight="1">
      <c r="D145" s="12"/>
      <c r="E145" s="12"/>
      <c r="F145" s="9" t="s">
        <v>276</v>
      </c>
      <c r="G145" s="9" t="s">
        <v>277</v>
      </c>
      <c r="H145" s="9">
        <v>3.0</v>
      </c>
      <c r="J145" s="12"/>
      <c r="K145" s="9" t="s">
        <v>274</v>
      </c>
      <c r="L145" s="9" t="s">
        <v>273</v>
      </c>
      <c r="M145" s="9">
        <v>18.0</v>
      </c>
    </row>
    <row r="146" ht="15.75" customHeight="1">
      <c r="D146" s="12"/>
      <c r="E146" s="12"/>
      <c r="F146" s="9" t="s">
        <v>278</v>
      </c>
      <c r="G146" s="9" t="s">
        <v>279</v>
      </c>
      <c r="H146" s="9">
        <v>6.0</v>
      </c>
      <c r="J146" s="12"/>
      <c r="K146" s="9" t="s">
        <v>276</v>
      </c>
      <c r="L146" s="9" t="s">
        <v>275</v>
      </c>
      <c r="M146" s="9">
        <v>2.0</v>
      </c>
    </row>
    <row r="147" ht="15.75" customHeight="1">
      <c r="D147" s="12"/>
      <c r="E147" s="12"/>
      <c r="F147" s="9" t="s">
        <v>280</v>
      </c>
      <c r="G147" s="9" t="s">
        <v>281</v>
      </c>
      <c r="H147" s="9">
        <v>4.0</v>
      </c>
      <c r="J147" s="12"/>
      <c r="K147" s="9" t="s">
        <v>278</v>
      </c>
      <c r="L147" s="9" t="s">
        <v>277</v>
      </c>
      <c r="M147" s="9">
        <v>3.0</v>
      </c>
    </row>
    <row r="148" ht="15.75" customHeight="1">
      <c r="D148" s="12"/>
      <c r="E148" s="12"/>
      <c r="F148" s="9" t="s">
        <v>282</v>
      </c>
      <c r="G148" s="9" t="s">
        <v>283</v>
      </c>
      <c r="H148" s="9">
        <v>2.0</v>
      </c>
      <c r="J148" s="12"/>
      <c r="K148" s="9" t="s">
        <v>280</v>
      </c>
      <c r="L148" s="9" t="s">
        <v>279</v>
      </c>
      <c r="M148" s="9">
        <v>6.0</v>
      </c>
    </row>
    <row r="149" ht="15.75" customHeight="1">
      <c r="D149" s="12"/>
      <c r="E149" s="12"/>
      <c r="F149" s="9" t="s">
        <v>284</v>
      </c>
      <c r="G149" s="9" t="s">
        <v>62</v>
      </c>
      <c r="H149" s="9">
        <v>1.0</v>
      </c>
      <c r="J149" s="12"/>
      <c r="K149" s="9" t="s">
        <v>282</v>
      </c>
      <c r="L149" s="9" t="s">
        <v>281</v>
      </c>
      <c r="M149" s="9">
        <v>4.0</v>
      </c>
    </row>
    <row r="150" ht="15.75" customHeight="1">
      <c r="D150" s="12"/>
      <c r="E150" s="12"/>
      <c r="F150" s="9" t="s">
        <v>285</v>
      </c>
      <c r="G150" s="9" t="s">
        <v>62</v>
      </c>
      <c r="H150" s="9">
        <v>2.0</v>
      </c>
      <c r="J150" s="12"/>
      <c r="K150" s="9" t="s">
        <v>284</v>
      </c>
      <c r="L150" s="9" t="s">
        <v>283</v>
      </c>
      <c r="M150" s="9">
        <v>2.0</v>
      </c>
    </row>
    <row r="151" ht="15.75" customHeight="1">
      <c r="D151" s="12"/>
      <c r="E151" s="12"/>
      <c r="F151" s="9" t="s">
        <v>286</v>
      </c>
      <c r="G151" s="9" t="s">
        <v>287</v>
      </c>
      <c r="H151" s="9">
        <v>6.0</v>
      </c>
      <c r="J151" s="12"/>
      <c r="K151" s="9" t="s">
        <v>285</v>
      </c>
      <c r="L151" s="9" t="s">
        <v>62</v>
      </c>
      <c r="M151" s="9">
        <v>1.0</v>
      </c>
    </row>
    <row r="152" ht="15.75" customHeight="1">
      <c r="D152" s="12"/>
      <c r="E152" s="12"/>
      <c r="F152" s="9" t="s">
        <v>288</v>
      </c>
      <c r="G152" s="9" t="s">
        <v>289</v>
      </c>
      <c r="H152" s="9">
        <v>1.0</v>
      </c>
      <c r="J152" s="12"/>
      <c r="K152" s="9" t="s">
        <v>286</v>
      </c>
      <c r="L152" s="9" t="s">
        <v>62</v>
      </c>
      <c r="M152" s="9">
        <v>2.0</v>
      </c>
    </row>
    <row r="153" ht="15.75" customHeight="1">
      <c r="D153" s="12"/>
      <c r="E153" s="12"/>
      <c r="F153" s="9" t="s">
        <v>290</v>
      </c>
      <c r="G153" s="9" t="s">
        <v>291</v>
      </c>
      <c r="H153" s="9">
        <v>2.0</v>
      </c>
      <c r="J153" s="12"/>
      <c r="K153" s="9" t="s">
        <v>288</v>
      </c>
      <c r="L153" s="9" t="s">
        <v>287</v>
      </c>
      <c r="M153" s="9">
        <v>6.0</v>
      </c>
    </row>
    <row r="154" ht="15.75" customHeight="1">
      <c r="D154" s="12"/>
      <c r="E154" s="12"/>
      <c r="F154" s="9" t="s">
        <v>292</v>
      </c>
      <c r="G154" s="9" t="s">
        <v>293</v>
      </c>
      <c r="H154" s="9">
        <v>8.0</v>
      </c>
      <c r="J154" s="12"/>
      <c r="K154" s="9" t="s">
        <v>290</v>
      </c>
      <c r="L154" s="9" t="s">
        <v>289</v>
      </c>
      <c r="M154" s="9">
        <v>1.0</v>
      </c>
    </row>
    <row r="155" ht="15.75" customHeight="1">
      <c r="D155" s="12"/>
      <c r="E155" s="12"/>
      <c r="F155" s="9" t="s">
        <v>294</v>
      </c>
      <c r="G155" s="9" t="s">
        <v>295</v>
      </c>
      <c r="H155" s="9">
        <v>2.0</v>
      </c>
      <c r="J155" s="12"/>
      <c r="K155" s="9" t="s">
        <v>292</v>
      </c>
      <c r="L155" s="9" t="s">
        <v>291</v>
      </c>
      <c r="M155" s="9">
        <v>2.0</v>
      </c>
    </row>
    <row r="156" ht="15.75" customHeight="1">
      <c r="D156" s="12"/>
      <c r="E156" s="12"/>
      <c r="F156" s="9" t="s">
        <v>296</v>
      </c>
      <c r="G156" s="9" t="s">
        <v>297</v>
      </c>
      <c r="H156" s="9">
        <v>1.0</v>
      </c>
      <c r="J156" s="12"/>
      <c r="K156" s="9" t="s">
        <v>294</v>
      </c>
      <c r="L156" s="9" t="s">
        <v>293</v>
      </c>
      <c r="M156" s="9">
        <v>8.0</v>
      </c>
    </row>
    <row r="157" ht="15.75" customHeight="1">
      <c r="D157" s="12"/>
      <c r="E157" s="12"/>
      <c r="F157" s="9" t="s">
        <v>298</v>
      </c>
      <c r="G157" s="9" t="s">
        <v>299</v>
      </c>
      <c r="H157" s="9">
        <v>11.0</v>
      </c>
      <c r="J157" s="12"/>
      <c r="K157" s="9" t="s">
        <v>296</v>
      </c>
      <c r="L157" s="9" t="s">
        <v>295</v>
      </c>
      <c r="M157" s="9">
        <v>2.0</v>
      </c>
    </row>
    <row r="158" ht="15.75" customHeight="1">
      <c r="D158" s="12"/>
      <c r="E158" s="12"/>
      <c r="F158" s="9" t="s">
        <v>300</v>
      </c>
      <c r="G158" s="9" t="s">
        <v>301</v>
      </c>
      <c r="H158" s="9">
        <v>1.0</v>
      </c>
      <c r="J158" s="12"/>
      <c r="K158" s="9" t="s">
        <v>298</v>
      </c>
      <c r="L158" s="9" t="s">
        <v>297</v>
      </c>
      <c r="M158" s="9">
        <v>1.0</v>
      </c>
    </row>
    <row r="159" ht="15.75" customHeight="1">
      <c r="D159" s="12"/>
      <c r="E159" s="12"/>
      <c r="F159" s="9" t="s">
        <v>302</v>
      </c>
      <c r="G159" s="9" t="s">
        <v>303</v>
      </c>
      <c r="H159" s="9">
        <v>5.0</v>
      </c>
      <c r="J159" s="12"/>
      <c r="K159" s="9" t="s">
        <v>300</v>
      </c>
      <c r="L159" s="9" t="s">
        <v>299</v>
      </c>
      <c r="M159" s="9">
        <v>11.0</v>
      </c>
    </row>
    <row r="160" ht="15.75" customHeight="1">
      <c r="D160" s="12"/>
      <c r="E160" s="12"/>
      <c r="F160" s="9" t="s">
        <v>304</v>
      </c>
      <c r="G160" s="9" t="s">
        <v>305</v>
      </c>
      <c r="H160" s="9">
        <v>1.0</v>
      </c>
      <c r="J160" s="12"/>
      <c r="K160" s="9" t="s">
        <v>302</v>
      </c>
      <c r="L160" s="9" t="s">
        <v>301</v>
      </c>
      <c r="M160" s="9">
        <v>1.0</v>
      </c>
    </row>
    <row r="161" ht="15.75" customHeight="1">
      <c r="D161" s="12"/>
      <c r="E161" s="12"/>
      <c r="F161" s="9" t="s">
        <v>306</v>
      </c>
      <c r="G161" s="9" t="s">
        <v>307</v>
      </c>
      <c r="H161" s="9">
        <v>2.0</v>
      </c>
      <c r="J161" s="12"/>
      <c r="K161" s="9" t="s">
        <v>304</v>
      </c>
      <c r="L161" s="9" t="s">
        <v>303</v>
      </c>
      <c r="M161" s="9">
        <v>5.0</v>
      </c>
    </row>
    <row r="162" ht="15.75" customHeight="1">
      <c r="D162" s="12"/>
      <c r="E162" s="12"/>
      <c r="F162" s="9" t="s">
        <v>308</v>
      </c>
      <c r="G162" s="9" t="s">
        <v>309</v>
      </c>
      <c r="H162" s="9">
        <v>15.0</v>
      </c>
      <c r="J162" s="12"/>
      <c r="K162" s="9" t="s">
        <v>306</v>
      </c>
      <c r="L162" s="9" t="s">
        <v>305</v>
      </c>
      <c r="M162" s="9">
        <v>1.0</v>
      </c>
    </row>
    <row r="163" ht="15.75" customHeight="1">
      <c r="D163" s="12"/>
      <c r="E163" s="12"/>
      <c r="F163" s="9" t="s">
        <v>310</v>
      </c>
      <c r="G163" s="9" t="s">
        <v>311</v>
      </c>
      <c r="H163" s="9">
        <v>3.0</v>
      </c>
      <c r="J163" s="12"/>
      <c r="K163" s="9" t="s">
        <v>308</v>
      </c>
      <c r="L163" s="9" t="s">
        <v>307</v>
      </c>
      <c r="M163" s="9">
        <v>2.0</v>
      </c>
    </row>
    <row r="164" ht="15.75" customHeight="1">
      <c r="D164" s="12"/>
      <c r="E164" s="12"/>
      <c r="F164" s="9" t="s">
        <v>312</v>
      </c>
      <c r="G164" s="9" t="s">
        <v>313</v>
      </c>
      <c r="H164" s="9">
        <v>2.0</v>
      </c>
      <c r="J164" s="12"/>
      <c r="K164" s="9" t="s">
        <v>310</v>
      </c>
      <c r="L164" s="9" t="s">
        <v>309</v>
      </c>
      <c r="M164" s="9">
        <v>15.0</v>
      </c>
    </row>
    <row r="165" ht="15.75" customHeight="1">
      <c r="D165" s="12"/>
      <c r="E165" s="12"/>
      <c r="F165" s="9" t="s">
        <v>314</v>
      </c>
      <c r="G165" s="9" t="s">
        <v>315</v>
      </c>
      <c r="H165" s="9">
        <v>9.0</v>
      </c>
      <c r="J165" s="12"/>
      <c r="K165" s="9" t="s">
        <v>312</v>
      </c>
      <c r="L165" s="9" t="s">
        <v>311</v>
      </c>
      <c r="M165" s="9">
        <v>3.0</v>
      </c>
    </row>
    <row r="166" ht="15.75" customHeight="1">
      <c r="D166" s="12"/>
      <c r="E166" s="12"/>
      <c r="F166" s="9" t="s">
        <v>316</v>
      </c>
      <c r="G166" s="9" t="s">
        <v>315</v>
      </c>
      <c r="H166" s="9">
        <v>2.0</v>
      </c>
      <c r="J166" s="12"/>
      <c r="K166" s="9" t="s">
        <v>314</v>
      </c>
      <c r="L166" s="9" t="s">
        <v>313</v>
      </c>
      <c r="M166" s="9">
        <v>2.0</v>
      </c>
    </row>
    <row r="167" ht="15.75" customHeight="1">
      <c r="D167" s="12"/>
      <c r="E167" s="12"/>
      <c r="F167" s="9" t="s">
        <v>317</v>
      </c>
      <c r="G167" s="9" t="s">
        <v>318</v>
      </c>
      <c r="H167" s="9">
        <v>1.0</v>
      </c>
      <c r="J167" s="12"/>
      <c r="K167" s="9" t="s">
        <v>316</v>
      </c>
      <c r="L167" s="9" t="s">
        <v>315</v>
      </c>
      <c r="M167" s="9">
        <v>9.0</v>
      </c>
    </row>
    <row r="168" ht="15.75" customHeight="1">
      <c r="D168" s="12"/>
      <c r="E168" s="12"/>
      <c r="F168" s="9" t="s">
        <v>319</v>
      </c>
      <c r="G168" s="9" t="s">
        <v>320</v>
      </c>
      <c r="H168" s="9">
        <v>4.0</v>
      </c>
      <c r="J168" s="12"/>
      <c r="K168" s="9" t="s">
        <v>317</v>
      </c>
      <c r="L168" s="9" t="s">
        <v>315</v>
      </c>
      <c r="M168" s="9">
        <v>2.0</v>
      </c>
    </row>
    <row r="169" ht="15.75" customHeight="1">
      <c r="D169" s="12"/>
      <c r="E169" s="12"/>
      <c r="F169" s="9" t="s">
        <v>321</v>
      </c>
      <c r="G169" s="9" t="s">
        <v>322</v>
      </c>
      <c r="H169" s="9">
        <v>2.0</v>
      </c>
      <c r="J169" s="12"/>
      <c r="K169" s="9" t="s">
        <v>319</v>
      </c>
      <c r="L169" s="9" t="s">
        <v>318</v>
      </c>
      <c r="M169" s="9">
        <v>1.0</v>
      </c>
    </row>
    <row r="170" ht="15.75" customHeight="1">
      <c r="D170" s="12"/>
      <c r="E170" s="12"/>
      <c r="F170" s="9" t="s">
        <v>323</v>
      </c>
      <c r="G170" s="9" t="s">
        <v>324</v>
      </c>
      <c r="H170" s="9">
        <v>4.0</v>
      </c>
      <c r="J170" s="12"/>
      <c r="K170" s="9" t="s">
        <v>321</v>
      </c>
      <c r="L170" s="9" t="s">
        <v>320</v>
      </c>
      <c r="M170" s="9">
        <v>4.0</v>
      </c>
    </row>
    <row r="171" ht="15.75" customHeight="1">
      <c r="D171" s="12"/>
      <c r="E171" s="12"/>
      <c r="F171" s="9" t="s">
        <v>325</v>
      </c>
      <c r="G171" s="9" t="s">
        <v>326</v>
      </c>
      <c r="H171" s="9">
        <v>8.0</v>
      </c>
      <c r="J171" s="12"/>
      <c r="K171" s="9" t="s">
        <v>323</v>
      </c>
      <c r="L171" s="9" t="s">
        <v>322</v>
      </c>
      <c r="M171" s="9">
        <v>2.0</v>
      </c>
    </row>
    <row r="172" ht="15.75" customHeight="1">
      <c r="D172" s="12"/>
      <c r="E172" s="12"/>
      <c r="F172" s="9" t="s">
        <v>327</v>
      </c>
      <c r="G172" s="9" t="s">
        <v>328</v>
      </c>
      <c r="H172" s="9">
        <v>1.0</v>
      </c>
      <c r="J172" s="12"/>
      <c r="K172" s="9" t="s">
        <v>325</v>
      </c>
      <c r="L172" s="9" t="s">
        <v>324</v>
      </c>
      <c r="M172" s="9">
        <v>4.0</v>
      </c>
    </row>
    <row r="173" ht="15.75" customHeight="1">
      <c r="D173" s="12"/>
      <c r="E173" s="12"/>
      <c r="F173" s="9" t="s">
        <v>329</v>
      </c>
      <c r="G173" s="9" t="s">
        <v>307</v>
      </c>
      <c r="H173" s="9">
        <v>8.0</v>
      </c>
      <c r="J173" s="12"/>
      <c r="K173" s="9" t="s">
        <v>327</v>
      </c>
      <c r="L173" s="9" t="s">
        <v>326</v>
      </c>
      <c r="M173" s="9">
        <v>8.0</v>
      </c>
    </row>
    <row r="174" ht="15.75" customHeight="1">
      <c r="D174" s="12"/>
      <c r="E174" s="12"/>
      <c r="F174" s="9" t="s">
        <v>330</v>
      </c>
      <c r="G174" s="9" t="s">
        <v>331</v>
      </c>
      <c r="H174" s="9">
        <v>1.0</v>
      </c>
      <c r="J174" s="12"/>
      <c r="K174" s="9" t="s">
        <v>329</v>
      </c>
      <c r="L174" s="9" t="s">
        <v>328</v>
      </c>
      <c r="M174" s="9">
        <v>1.0</v>
      </c>
    </row>
    <row r="175" ht="15.75" customHeight="1">
      <c r="D175" s="12"/>
      <c r="E175" s="12"/>
      <c r="F175" s="9" t="s">
        <v>332</v>
      </c>
      <c r="G175" s="9" t="s">
        <v>333</v>
      </c>
      <c r="H175" s="9">
        <v>3.0</v>
      </c>
      <c r="J175" s="12"/>
      <c r="K175" s="9" t="s">
        <v>330</v>
      </c>
      <c r="L175" s="9" t="s">
        <v>307</v>
      </c>
      <c r="M175" s="9">
        <v>8.0</v>
      </c>
    </row>
    <row r="176" ht="15.75" customHeight="1">
      <c r="D176" s="12"/>
      <c r="E176" s="12"/>
      <c r="F176" s="9" t="s">
        <v>334</v>
      </c>
      <c r="G176" s="9" t="s">
        <v>335</v>
      </c>
      <c r="H176" s="9">
        <v>1.0</v>
      </c>
      <c r="J176" s="12"/>
      <c r="K176" s="9" t="s">
        <v>332</v>
      </c>
      <c r="L176" s="9" t="s">
        <v>331</v>
      </c>
      <c r="M176" s="9">
        <v>1.0</v>
      </c>
    </row>
    <row r="177" ht="15.75" customHeight="1">
      <c r="D177" s="12"/>
      <c r="E177" s="12"/>
      <c r="F177" s="9" t="s">
        <v>336</v>
      </c>
      <c r="G177" s="9" t="s">
        <v>62</v>
      </c>
      <c r="H177" s="9">
        <v>2.0</v>
      </c>
      <c r="J177" s="12"/>
      <c r="K177" s="9" t="s">
        <v>334</v>
      </c>
      <c r="L177" s="9" t="s">
        <v>333</v>
      </c>
      <c r="M177" s="9">
        <v>3.0</v>
      </c>
    </row>
    <row r="178" ht="15.75" customHeight="1">
      <c r="D178" s="12"/>
      <c r="E178" s="12"/>
      <c r="F178" s="9" t="s">
        <v>337</v>
      </c>
      <c r="G178" s="9" t="s">
        <v>338</v>
      </c>
      <c r="H178" s="9">
        <v>5.0</v>
      </c>
      <c r="J178" s="12"/>
      <c r="K178" s="9" t="s">
        <v>336</v>
      </c>
      <c r="L178" s="9" t="s">
        <v>335</v>
      </c>
      <c r="M178" s="9">
        <v>1.0</v>
      </c>
    </row>
    <row r="179" ht="15.75" customHeight="1">
      <c r="D179" s="12"/>
      <c r="E179" s="12"/>
      <c r="F179" s="9" t="s">
        <v>339</v>
      </c>
      <c r="G179" s="9" t="s">
        <v>340</v>
      </c>
      <c r="H179" s="9">
        <v>2.0</v>
      </c>
      <c r="J179" s="12"/>
      <c r="K179" s="9" t="s">
        <v>337</v>
      </c>
      <c r="L179" s="9" t="s">
        <v>62</v>
      </c>
      <c r="M179" s="9">
        <v>2.0</v>
      </c>
    </row>
    <row r="180" ht="15.75" customHeight="1">
      <c r="D180" s="12"/>
      <c r="E180" s="12"/>
      <c r="F180" s="9" t="s">
        <v>341</v>
      </c>
      <c r="G180" s="9" t="s">
        <v>342</v>
      </c>
      <c r="H180" s="9">
        <v>1.0</v>
      </c>
      <c r="J180" s="12"/>
      <c r="K180" s="9" t="s">
        <v>339</v>
      </c>
      <c r="L180" s="9" t="s">
        <v>338</v>
      </c>
      <c r="M180" s="9">
        <v>5.0</v>
      </c>
    </row>
    <row r="181" ht="15.75" customHeight="1">
      <c r="D181" s="12"/>
      <c r="E181" s="12"/>
      <c r="F181" s="9" t="s">
        <v>343</v>
      </c>
      <c r="G181" s="9" t="s">
        <v>344</v>
      </c>
      <c r="H181" s="9">
        <v>6.0</v>
      </c>
      <c r="J181" s="12"/>
      <c r="K181" s="9" t="s">
        <v>341</v>
      </c>
      <c r="L181" s="9" t="s">
        <v>340</v>
      </c>
      <c r="M181" s="9">
        <v>2.0</v>
      </c>
    </row>
    <row r="182" ht="15.75" customHeight="1">
      <c r="D182" s="12"/>
      <c r="E182" s="9" t="s">
        <v>345</v>
      </c>
      <c r="F182" s="9" t="s">
        <v>346</v>
      </c>
      <c r="G182" s="9" t="s">
        <v>347</v>
      </c>
      <c r="H182" s="9">
        <v>5.0</v>
      </c>
      <c r="J182" s="12"/>
      <c r="K182" s="9" t="s">
        <v>343</v>
      </c>
      <c r="L182" s="9" t="s">
        <v>342</v>
      </c>
      <c r="M182" s="9">
        <v>1.0</v>
      </c>
    </row>
    <row r="183" ht="15.75" customHeight="1">
      <c r="D183" s="12"/>
      <c r="E183" s="12"/>
      <c r="F183" s="9" t="s">
        <v>348</v>
      </c>
      <c r="G183" s="9" t="s">
        <v>349</v>
      </c>
      <c r="H183" s="9">
        <v>11.0</v>
      </c>
      <c r="J183" s="9" t="s">
        <v>345</v>
      </c>
      <c r="K183" s="9" t="s">
        <v>346</v>
      </c>
      <c r="L183" s="9" t="s">
        <v>344</v>
      </c>
      <c r="M183" s="9">
        <v>6.0</v>
      </c>
    </row>
    <row r="184" ht="15.75" customHeight="1">
      <c r="D184" s="12"/>
      <c r="E184" s="12"/>
      <c r="F184" s="9" t="s">
        <v>350</v>
      </c>
      <c r="G184" s="9" t="s">
        <v>351</v>
      </c>
      <c r="H184" s="9">
        <v>4.0</v>
      </c>
      <c r="J184" s="12"/>
      <c r="K184" s="9" t="s">
        <v>348</v>
      </c>
      <c r="L184" s="9" t="s">
        <v>347</v>
      </c>
      <c r="M184" s="9">
        <v>5.0</v>
      </c>
    </row>
    <row r="185" ht="15.75" customHeight="1">
      <c r="D185" s="12"/>
      <c r="E185" s="9" t="s">
        <v>352</v>
      </c>
      <c r="F185" s="9" t="s">
        <v>352</v>
      </c>
      <c r="G185" s="9" t="s">
        <v>62</v>
      </c>
      <c r="H185" s="9">
        <v>3.0</v>
      </c>
      <c r="J185" s="12"/>
      <c r="K185" s="9" t="s">
        <v>350</v>
      </c>
      <c r="L185" s="9" t="s">
        <v>349</v>
      </c>
      <c r="M185" s="9">
        <v>11.0</v>
      </c>
    </row>
    <row r="186" ht="15.75" customHeight="1">
      <c r="D186" s="12"/>
      <c r="E186" s="9" t="s">
        <v>79</v>
      </c>
      <c r="F186" s="9" t="s">
        <v>353</v>
      </c>
      <c r="G186" s="9" t="s">
        <v>62</v>
      </c>
      <c r="H186" s="9">
        <v>1.0</v>
      </c>
      <c r="J186" s="9" t="s">
        <v>352</v>
      </c>
      <c r="K186" s="9" t="s">
        <v>352</v>
      </c>
      <c r="L186" s="9" t="s">
        <v>351</v>
      </c>
      <c r="M186" s="9">
        <v>4.0</v>
      </c>
    </row>
    <row r="187" ht="15.75" customHeight="1">
      <c r="D187" s="12"/>
      <c r="E187" s="12"/>
      <c r="F187" s="9" t="s">
        <v>354</v>
      </c>
      <c r="G187" s="9" t="s">
        <v>355</v>
      </c>
      <c r="H187" s="9">
        <v>4.0</v>
      </c>
      <c r="J187" s="9" t="s">
        <v>79</v>
      </c>
      <c r="K187" s="9" t="s">
        <v>353</v>
      </c>
      <c r="L187" s="9" t="s">
        <v>62</v>
      </c>
      <c r="M187" s="9">
        <v>3.0</v>
      </c>
    </row>
    <row r="188" ht="15.75" customHeight="1">
      <c r="D188" s="12"/>
      <c r="E188" s="12"/>
      <c r="F188" s="9" t="s">
        <v>356</v>
      </c>
      <c r="G188" s="9" t="s">
        <v>357</v>
      </c>
      <c r="H188" s="9">
        <v>2.0</v>
      </c>
      <c r="J188" s="12"/>
      <c r="K188" s="9" t="s">
        <v>354</v>
      </c>
      <c r="L188" s="9" t="s">
        <v>62</v>
      </c>
      <c r="M188" s="9">
        <v>1.0</v>
      </c>
    </row>
    <row r="189" ht="15.75" customHeight="1">
      <c r="D189" s="12"/>
      <c r="E189" s="12"/>
      <c r="F189" s="9" t="s">
        <v>358</v>
      </c>
      <c r="G189" s="9" t="s">
        <v>359</v>
      </c>
      <c r="H189" s="9">
        <v>1.0</v>
      </c>
      <c r="J189" s="12"/>
      <c r="K189" s="9" t="s">
        <v>356</v>
      </c>
      <c r="L189" s="9" t="s">
        <v>355</v>
      </c>
      <c r="M189" s="9">
        <v>4.0</v>
      </c>
    </row>
    <row r="190" ht="15.75" customHeight="1">
      <c r="D190" s="12"/>
      <c r="E190" s="12"/>
      <c r="F190" s="9" t="s">
        <v>360</v>
      </c>
      <c r="G190" s="9" t="s">
        <v>361</v>
      </c>
      <c r="H190" s="9">
        <v>1.0</v>
      </c>
      <c r="J190" s="12"/>
      <c r="K190" s="9" t="s">
        <v>358</v>
      </c>
      <c r="L190" s="9" t="s">
        <v>357</v>
      </c>
      <c r="M190" s="9">
        <v>2.0</v>
      </c>
    </row>
    <row r="191" ht="15.75" customHeight="1">
      <c r="D191" s="12"/>
      <c r="E191" s="9" t="s">
        <v>90</v>
      </c>
      <c r="F191" s="9" t="s">
        <v>362</v>
      </c>
      <c r="G191" s="9" t="s">
        <v>363</v>
      </c>
      <c r="H191" s="9">
        <v>3.0</v>
      </c>
      <c r="J191" s="12"/>
      <c r="K191" s="9" t="s">
        <v>360</v>
      </c>
      <c r="L191" s="9" t="s">
        <v>359</v>
      </c>
      <c r="M191" s="9">
        <v>1.0</v>
      </c>
    </row>
    <row r="192" ht="15.75" customHeight="1">
      <c r="D192" s="12"/>
      <c r="E192" s="9" t="s">
        <v>364</v>
      </c>
      <c r="F192" s="9" t="s">
        <v>365</v>
      </c>
      <c r="G192" s="9" t="s">
        <v>366</v>
      </c>
      <c r="H192" s="9">
        <v>8.0</v>
      </c>
      <c r="J192" s="9" t="s">
        <v>90</v>
      </c>
      <c r="K192" s="9" t="s">
        <v>362</v>
      </c>
      <c r="L192" s="9" t="s">
        <v>361</v>
      </c>
      <c r="M192" s="9">
        <v>1.0</v>
      </c>
    </row>
    <row r="193" ht="15.75" customHeight="1">
      <c r="D193" s="12"/>
      <c r="E193" s="9" t="s">
        <v>367</v>
      </c>
      <c r="F193" s="9" t="s">
        <v>368</v>
      </c>
      <c r="G193" s="9" t="s">
        <v>369</v>
      </c>
      <c r="H193" s="9">
        <v>1.0</v>
      </c>
      <c r="J193" s="9" t="s">
        <v>364</v>
      </c>
      <c r="K193" s="9" t="s">
        <v>365</v>
      </c>
      <c r="L193" s="9" t="s">
        <v>363</v>
      </c>
      <c r="M193" s="9">
        <v>3.0</v>
      </c>
    </row>
    <row r="194" ht="15.75" customHeight="1">
      <c r="D194" s="12"/>
      <c r="E194" s="9" t="s">
        <v>370</v>
      </c>
      <c r="F194" s="9" t="s">
        <v>371</v>
      </c>
      <c r="G194" s="9" t="s">
        <v>372</v>
      </c>
      <c r="H194" s="9">
        <v>5.0</v>
      </c>
      <c r="J194" s="9" t="s">
        <v>367</v>
      </c>
      <c r="K194" s="9" t="s">
        <v>368</v>
      </c>
      <c r="L194" s="9" t="s">
        <v>366</v>
      </c>
      <c r="M194" s="9">
        <v>8.0</v>
      </c>
    </row>
    <row r="195" ht="15.75" customHeight="1">
      <c r="D195" s="12"/>
      <c r="E195" s="9" t="s">
        <v>373</v>
      </c>
      <c r="F195" s="9" t="s">
        <v>374</v>
      </c>
      <c r="G195" s="9" t="s">
        <v>187</v>
      </c>
      <c r="H195" s="9">
        <v>1.0</v>
      </c>
      <c r="J195" s="9" t="s">
        <v>370</v>
      </c>
      <c r="K195" s="9" t="s">
        <v>371</v>
      </c>
      <c r="L195" s="9" t="s">
        <v>369</v>
      </c>
      <c r="M195" s="9">
        <v>1.0</v>
      </c>
    </row>
    <row r="196" ht="15.75" customHeight="1">
      <c r="D196" s="12"/>
      <c r="E196" s="12"/>
      <c r="F196" s="9" t="s">
        <v>375</v>
      </c>
      <c r="G196" s="9" t="s">
        <v>62</v>
      </c>
      <c r="H196" s="9">
        <v>2.0</v>
      </c>
      <c r="J196" s="9" t="s">
        <v>373</v>
      </c>
      <c r="K196" s="9" t="s">
        <v>374</v>
      </c>
      <c r="L196" s="9" t="s">
        <v>372</v>
      </c>
      <c r="M196" s="9">
        <v>5.0</v>
      </c>
    </row>
    <row r="197" ht="15.75" customHeight="1">
      <c r="D197" s="12"/>
      <c r="E197" s="12"/>
      <c r="F197" s="9" t="s">
        <v>376</v>
      </c>
      <c r="G197" s="9" t="s">
        <v>377</v>
      </c>
      <c r="H197" s="9">
        <v>1.0</v>
      </c>
      <c r="J197" s="12"/>
      <c r="K197" s="9" t="s">
        <v>375</v>
      </c>
      <c r="L197" s="9" t="s">
        <v>187</v>
      </c>
      <c r="M197" s="9">
        <v>1.0</v>
      </c>
    </row>
    <row r="198" ht="15.75" customHeight="1">
      <c r="D198" s="12"/>
      <c r="E198" s="12"/>
      <c r="F198" s="9" t="s">
        <v>378</v>
      </c>
      <c r="G198" s="9" t="s">
        <v>379</v>
      </c>
      <c r="H198" s="9">
        <v>1.0</v>
      </c>
      <c r="J198" s="12"/>
      <c r="K198" s="9" t="s">
        <v>376</v>
      </c>
      <c r="L198" s="9" t="s">
        <v>62</v>
      </c>
      <c r="M198" s="9">
        <v>2.0</v>
      </c>
    </row>
    <row r="199" ht="15.75" customHeight="1">
      <c r="D199" s="12"/>
      <c r="E199" s="12"/>
      <c r="F199" s="9" t="s">
        <v>380</v>
      </c>
      <c r="G199" s="9" t="s">
        <v>62</v>
      </c>
      <c r="H199" s="9">
        <v>2.0</v>
      </c>
      <c r="J199" s="12"/>
      <c r="K199" s="9" t="s">
        <v>378</v>
      </c>
      <c r="L199" s="9" t="s">
        <v>377</v>
      </c>
      <c r="M199" s="9">
        <v>1.0</v>
      </c>
    </row>
    <row r="200" ht="15.75" customHeight="1">
      <c r="D200" s="12"/>
      <c r="E200" s="9" t="s">
        <v>9</v>
      </c>
      <c r="F200" s="9" t="s">
        <v>381</v>
      </c>
      <c r="G200" s="9" t="s">
        <v>382</v>
      </c>
      <c r="H200" s="9">
        <v>1.0</v>
      </c>
      <c r="J200" s="12"/>
      <c r="K200" s="9" t="s">
        <v>380</v>
      </c>
      <c r="L200" s="9" t="s">
        <v>379</v>
      </c>
      <c r="M200" s="9">
        <v>1.0</v>
      </c>
    </row>
    <row r="201" ht="15.75" customHeight="1">
      <c r="D201" s="12"/>
      <c r="E201" s="12"/>
      <c r="F201" s="9" t="s">
        <v>383</v>
      </c>
      <c r="G201" s="9" t="s">
        <v>384</v>
      </c>
      <c r="H201" s="9">
        <v>6.0</v>
      </c>
      <c r="J201" s="9" t="s">
        <v>9</v>
      </c>
      <c r="K201" s="9" t="s">
        <v>381</v>
      </c>
      <c r="L201" s="9" t="s">
        <v>62</v>
      </c>
      <c r="M201" s="9">
        <v>2.0</v>
      </c>
    </row>
    <row r="202" ht="15.75" customHeight="1">
      <c r="D202" s="12"/>
      <c r="E202" s="12"/>
      <c r="F202" s="9" t="s">
        <v>385</v>
      </c>
      <c r="G202" s="9" t="s">
        <v>62</v>
      </c>
      <c r="H202" s="9">
        <v>1.0</v>
      </c>
      <c r="J202" s="12"/>
      <c r="K202" s="9" t="s">
        <v>383</v>
      </c>
      <c r="L202" s="9" t="s">
        <v>382</v>
      </c>
      <c r="M202" s="9">
        <v>1.0</v>
      </c>
    </row>
    <row r="203" ht="15.75" customHeight="1">
      <c r="D203" s="12"/>
      <c r="E203" s="12"/>
      <c r="F203" s="9" t="s">
        <v>386</v>
      </c>
      <c r="G203" s="9" t="s">
        <v>387</v>
      </c>
      <c r="H203" s="9">
        <v>64.0</v>
      </c>
      <c r="J203" s="12"/>
      <c r="K203" s="9" t="s">
        <v>385</v>
      </c>
      <c r="L203" s="9" t="s">
        <v>384</v>
      </c>
      <c r="M203" s="9">
        <v>6.0</v>
      </c>
    </row>
    <row r="204" ht="15.75" customHeight="1">
      <c r="D204" s="12"/>
      <c r="E204" s="12"/>
      <c r="F204" s="9" t="s">
        <v>388</v>
      </c>
      <c r="G204" s="9" t="s">
        <v>384</v>
      </c>
      <c r="H204" s="9">
        <v>1.0</v>
      </c>
      <c r="J204" s="12"/>
      <c r="K204" s="9" t="s">
        <v>386</v>
      </c>
      <c r="L204" s="9" t="s">
        <v>62</v>
      </c>
      <c r="M204" s="9">
        <v>1.0</v>
      </c>
    </row>
    <row r="205" ht="15.75" customHeight="1">
      <c r="D205" s="12"/>
      <c r="E205" s="12"/>
      <c r="F205" s="9" t="s">
        <v>389</v>
      </c>
      <c r="G205" s="9" t="s">
        <v>390</v>
      </c>
      <c r="H205" s="9">
        <v>1.0</v>
      </c>
      <c r="J205" s="12"/>
      <c r="K205" s="9" t="s">
        <v>388</v>
      </c>
      <c r="L205" s="9" t="s">
        <v>387</v>
      </c>
      <c r="M205" s="9">
        <v>64.0</v>
      </c>
    </row>
    <row r="206" ht="15.75" customHeight="1">
      <c r="D206" s="12"/>
      <c r="E206" s="12"/>
      <c r="F206" s="9" t="s">
        <v>391</v>
      </c>
      <c r="G206" s="9" t="s">
        <v>62</v>
      </c>
      <c r="H206" s="9">
        <v>1.0</v>
      </c>
      <c r="J206" s="12"/>
      <c r="K206" s="9" t="s">
        <v>389</v>
      </c>
      <c r="L206" s="9" t="s">
        <v>384</v>
      </c>
      <c r="M206" s="9">
        <v>1.0</v>
      </c>
    </row>
    <row r="207" ht="15.75" customHeight="1">
      <c r="D207" s="12"/>
      <c r="E207" s="12"/>
      <c r="F207" s="9" t="s">
        <v>392</v>
      </c>
      <c r="G207" s="9" t="s">
        <v>393</v>
      </c>
      <c r="H207" s="9">
        <v>1.0</v>
      </c>
      <c r="J207" s="12"/>
      <c r="K207" s="9" t="s">
        <v>391</v>
      </c>
      <c r="L207" s="9" t="s">
        <v>390</v>
      </c>
      <c r="M207" s="9">
        <v>1.0</v>
      </c>
    </row>
    <row r="208" ht="15.75" customHeight="1">
      <c r="D208" s="12"/>
      <c r="E208" s="12"/>
      <c r="F208" s="9" t="s">
        <v>394</v>
      </c>
      <c r="G208" s="9" t="s">
        <v>384</v>
      </c>
      <c r="H208" s="9">
        <v>2.0</v>
      </c>
      <c r="J208" s="12"/>
      <c r="K208" s="9" t="s">
        <v>392</v>
      </c>
      <c r="L208" s="9" t="s">
        <v>62</v>
      </c>
      <c r="M208" s="9">
        <v>1.0</v>
      </c>
    </row>
    <row r="209" ht="15.75" customHeight="1">
      <c r="D209" s="12"/>
      <c r="E209" s="12"/>
      <c r="F209" s="9" t="s">
        <v>395</v>
      </c>
      <c r="G209" s="9" t="s">
        <v>396</v>
      </c>
      <c r="H209" s="9">
        <v>1.0</v>
      </c>
      <c r="J209" s="12"/>
      <c r="K209" s="9" t="s">
        <v>394</v>
      </c>
      <c r="L209" s="9" t="s">
        <v>393</v>
      </c>
      <c r="M209" s="9">
        <v>1.0</v>
      </c>
    </row>
    <row r="210" ht="15.75" customHeight="1">
      <c r="D210" s="12"/>
      <c r="E210" s="12"/>
      <c r="F210" s="9" t="s">
        <v>397</v>
      </c>
      <c r="G210" s="9" t="s">
        <v>398</v>
      </c>
      <c r="H210" s="9">
        <v>2.0</v>
      </c>
      <c r="J210" s="12"/>
      <c r="K210" s="9" t="s">
        <v>395</v>
      </c>
      <c r="L210" s="9" t="s">
        <v>384</v>
      </c>
      <c r="M210" s="9">
        <v>2.0</v>
      </c>
    </row>
    <row r="211" ht="15.75" customHeight="1">
      <c r="D211" s="12"/>
      <c r="E211" s="12"/>
      <c r="F211" s="9" t="s">
        <v>399</v>
      </c>
      <c r="G211" s="9" t="s">
        <v>384</v>
      </c>
      <c r="H211" s="9">
        <v>1.0</v>
      </c>
      <c r="J211" s="12"/>
      <c r="K211" s="9" t="s">
        <v>397</v>
      </c>
      <c r="L211" s="9" t="s">
        <v>396</v>
      </c>
      <c r="M211" s="9">
        <v>1.0</v>
      </c>
    </row>
    <row r="212" ht="15.75" customHeight="1">
      <c r="D212" s="12"/>
      <c r="E212" s="12"/>
      <c r="F212" s="9" t="s">
        <v>400</v>
      </c>
      <c r="G212" s="9" t="s">
        <v>384</v>
      </c>
      <c r="H212" s="9">
        <v>3.0</v>
      </c>
      <c r="J212" s="12"/>
      <c r="K212" s="9" t="s">
        <v>399</v>
      </c>
      <c r="L212" s="9" t="s">
        <v>398</v>
      </c>
      <c r="M212" s="9">
        <v>2.0</v>
      </c>
    </row>
    <row r="213" ht="15.75" customHeight="1">
      <c r="D213" s="12"/>
      <c r="E213" s="12"/>
      <c r="F213" s="9" t="s">
        <v>401</v>
      </c>
      <c r="G213" s="9" t="s">
        <v>384</v>
      </c>
      <c r="H213" s="9">
        <v>6.0</v>
      </c>
      <c r="J213" s="12"/>
      <c r="K213" s="9" t="s">
        <v>400</v>
      </c>
      <c r="L213" s="9" t="s">
        <v>384</v>
      </c>
      <c r="M213" s="9">
        <v>1.0</v>
      </c>
    </row>
    <row r="214" ht="15.75" customHeight="1">
      <c r="D214" s="12"/>
      <c r="E214" s="12"/>
      <c r="F214" s="9" t="s">
        <v>402</v>
      </c>
      <c r="G214" s="9" t="s">
        <v>403</v>
      </c>
      <c r="H214" s="9">
        <v>1.0</v>
      </c>
      <c r="J214" s="12"/>
      <c r="K214" s="9" t="s">
        <v>401</v>
      </c>
      <c r="L214" s="9" t="s">
        <v>384</v>
      </c>
      <c r="M214" s="9">
        <v>3.0</v>
      </c>
    </row>
    <row r="215" ht="15.75" customHeight="1">
      <c r="D215" s="12"/>
      <c r="E215" s="12"/>
      <c r="F215" s="9" t="s">
        <v>404</v>
      </c>
      <c r="G215" s="9" t="s">
        <v>405</v>
      </c>
      <c r="H215" s="9">
        <v>2.0</v>
      </c>
      <c r="J215" s="12"/>
      <c r="K215" s="9" t="s">
        <v>402</v>
      </c>
      <c r="L215" s="9" t="s">
        <v>384</v>
      </c>
      <c r="M215" s="9">
        <v>6.0</v>
      </c>
    </row>
    <row r="216" ht="15.75" customHeight="1">
      <c r="D216" s="12"/>
      <c r="E216" s="12"/>
      <c r="F216" s="9" t="s">
        <v>406</v>
      </c>
      <c r="G216" s="9" t="s">
        <v>407</v>
      </c>
      <c r="H216" s="9">
        <v>3.0</v>
      </c>
      <c r="J216" s="12"/>
      <c r="K216" s="9" t="s">
        <v>404</v>
      </c>
      <c r="L216" s="9" t="s">
        <v>403</v>
      </c>
      <c r="M216" s="9">
        <v>1.0</v>
      </c>
    </row>
    <row r="217" ht="15.75" customHeight="1">
      <c r="D217" s="12"/>
      <c r="E217" s="9" t="s">
        <v>408</v>
      </c>
      <c r="F217" s="9" t="s">
        <v>409</v>
      </c>
      <c r="G217" s="9" t="s">
        <v>62</v>
      </c>
      <c r="H217" s="9">
        <v>1.0</v>
      </c>
      <c r="J217" s="12"/>
      <c r="K217" s="9" t="s">
        <v>406</v>
      </c>
      <c r="L217" s="9" t="s">
        <v>405</v>
      </c>
      <c r="M217" s="9">
        <v>2.0</v>
      </c>
    </row>
    <row r="218" ht="15.75" customHeight="1">
      <c r="D218" s="12"/>
      <c r="E218" s="12"/>
      <c r="F218" s="9" t="s">
        <v>410</v>
      </c>
      <c r="G218" s="9" t="s">
        <v>411</v>
      </c>
      <c r="H218" s="9">
        <v>3.0</v>
      </c>
      <c r="J218" s="9" t="s">
        <v>408</v>
      </c>
      <c r="K218" s="9" t="s">
        <v>409</v>
      </c>
      <c r="L218" s="9" t="s">
        <v>407</v>
      </c>
      <c r="M218" s="9">
        <v>3.0</v>
      </c>
    </row>
    <row r="219" ht="15.75" customHeight="1">
      <c r="D219" s="12"/>
      <c r="E219" s="9" t="s">
        <v>15</v>
      </c>
      <c r="F219" s="9" t="s">
        <v>412</v>
      </c>
      <c r="G219" s="9" t="s">
        <v>413</v>
      </c>
      <c r="H219" s="9">
        <v>1.0</v>
      </c>
      <c r="J219" s="12"/>
      <c r="K219" s="9" t="s">
        <v>410</v>
      </c>
      <c r="L219" s="9" t="s">
        <v>62</v>
      </c>
      <c r="M219" s="9">
        <v>1.0</v>
      </c>
    </row>
    <row r="220" ht="15.75" customHeight="1">
      <c r="D220" s="12"/>
      <c r="E220" s="9" t="s">
        <v>414</v>
      </c>
      <c r="F220" s="9" t="s">
        <v>415</v>
      </c>
      <c r="G220" s="9" t="s">
        <v>416</v>
      </c>
      <c r="H220" s="9">
        <v>1.0</v>
      </c>
      <c r="J220" s="9" t="s">
        <v>15</v>
      </c>
      <c r="K220" s="9" t="s">
        <v>412</v>
      </c>
      <c r="L220" s="9" t="s">
        <v>411</v>
      </c>
      <c r="M220" s="9">
        <v>3.0</v>
      </c>
    </row>
    <row r="221" ht="15.75" customHeight="1">
      <c r="D221" s="12"/>
      <c r="E221" s="12"/>
      <c r="F221" s="9" t="s">
        <v>417</v>
      </c>
      <c r="G221" s="9" t="s">
        <v>418</v>
      </c>
      <c r="H221" s="9">
        <v>1.0</v>
      </c>
      <c r="J221" s="9" t="s">
        <v>414</v>
      </c>
      <c r="K221" s="9" t="s">
        <v>415</v>
      </c>
      <c r="L221" s="9" t="s">
        <v>413</v>
      </c>
      <c r="M221" s="9">
        <v>1.0</v>
      </c>
    </row>
    <row r="222" ht="15.75" customHeight="1">
      <c r="D222" s="12"/>
      <c r="E222" s="12"/>
      <c r="F222" s="9" t="s">
        <v>419</v>
      </c>
      <c r="G222" s="9" t="s">
        <v>420</v>
      </c>
      <c r="H222" s="9">
        <v>1.0</v>
      </c>
      <c r="J222" s="12"/>
      <c r="K222" s="9" t="s">
        <v>417</v>
      </c>
      <c r="L222" s="9" t="s">
        <v>416</v>
      </c>
      <c r="M222" s="9">
        <v>1.0</v>
      </c>
    </row>
    <row r="223" ht="15.75" customHeight="1">
      <c r="D223" s="12"/>
      <c r="E223" s="12"/>
      <c r="F223" s="9" t="s">
        <v>421</v>
      </c>
      <c r="G223" s="9" t="s">
        <v>422</v>
      </c>
      <c r="H223" s="9">
        <v>4.0</v>
      </c>
      <c r="J223" s="12"/>
      <c r="K223" s="9" t="s">
        <v>419</v>
      </c>
      <c r="L223" s="9" t="s">
        <v>418</v>
      </c>
      <c r="M223" s="9">
        <v>1.0</v>
      </c>
    </row>
    <row r="224" ht="15.75" customHeight="1">
      <c r="D224" s="12"/>
      <c r="E224" s="9" t="s">
        <v>423</v>
      </c>
      <c r="F224" s="9" t="s">
        <v>424</v>
      </c>
      <c r="G224" s="9" t="s">
        <v>425</v>
      </c>
      <c r="H224" s="9">
        <v>1.0</v>
      </c>
      <c r="J224" s="12"/>
      <c r="K224" s="9" t="s">
        <v>421</v>
      </c>
      <c r="L224" s="9" t="s">
        <v>420</v>
      </c>
      <c r="M224" s="9">
        <v>1.0</v>
      </c>
    </row>
    <row r="225" ht="15.75" customHeight="1">
      <c r="D225" s="12"/>
      <c r="E225" s="12"/>
      <c r="F225" s="9" t="s">
        <v>426</v>
      </c>
      <c r="G225" s="9" t="s">
        <v>427</v>
      </c>
      <c r="H225" s="9">
        <v>4.0</v>
      </c>
      <c r="J225" s="9" t="s">
        <v>423</v>
      </c>
      <c r="K225" s="9" t="s">
        <v>424</v>
      </c>
      <c r="L225" s="9" t="s">
        <v>422</v>
      </c>
      <c r="M225" s="9">
        <v>4.0</v>
      </c>
    </row>
    <row r="226" ht="15.75" customHeight="1">
      <c r="D226" s="12"/>
      <c r="E226" s="12"/>
      <c r="F226" s="9" t="s">
        <v>428</v>
      </c>
      <c r="G226" s="9" t="s">
        <v>429</v>
      </c>
      <c r="H226" s="9">
        <v>1.0</v>
      </c>
      <c r="J226" s="12"/>
      <c r="K226" s="9" t="s">
        <v>426</v>
      </c>
      <c r="L226" s="9" t="s">
        <v>425</v>
      </c>
      <c r="M226" s="9">
        <v>1.0</v>
      </c>
    </row>
    <row r="227" ht="15.75" customHeight="1">
      <c r="D227" s="12"/>
      <c r="E227" s="12"/>
      <c r="F227" s="9" t="s">
        <v>430</v>
      </c>
      <c r="G227" s="9" t="s">
        <v>431</v>
      </c>
      <c r="H227" s="9">
        <v>1.0</v>
      </c>
      <c r="J227" s="12"/>
      <c r="K227" s="9" t="s">
        <v>428</v>
      </c>
      <c r="L227" s="9" t="s">
        <v>427</v>
      </c>
      <c r="M227" s="9">
        <v>4.0</v>
      </c>
    </row>
    <row r="228" ht="15.75" customHeight="1">
      <c r="D228" s="12"/>
      <c r="E228" s="12"/>
      <c r="F228" s="9" t="s">
        <v>432</v>
      </c>
      <c r="G228" s="9" t="s">
        <v>433</v>
      </c>
      <c r="H228" s="9">
        <v>1.0</v>
      </c>
      <c r="J228" s="12"/>
      <c r="K228" s="9" t="s">
        <v>430</v>
      </c>
      <c r="L228" s="9" t="s">
        <v>429</v>
      </c>
      <c r="M228" s="9">
        <v>1.0</v>
      </c>
    </row>
    <row r="229" ht="15.75" customHeight="1">
      <c r="D229" s="12"/>
      <c r="E229" s="9" t="s">
        <v>434</v>
      </c>
      <c r="F229" s="9" t="s">
        <v>435</v>
      </c>
      <c r="G229" s="9" t="s">
        <v>436</v>
      </c>
      <c r="H229" s="9">
        <v>1.0</v>
      </c>
      <c r="J229" s="12"/>
      <c r="K229" s="9" t="s">
        <v>432</v>
      </c>
      <c r="L229" s="9" t="s">
        <v>431</v>
      </c>
      <c r="M229" s="9">
        <v>1.0</v>
      </c>
    </row>
    <row r="230" ht="15.75" customHeight="1">
      <c r="D230" s="12"/>
      <c r="E230" s="9" t="s">
        <v>437</v>
      </c>
      <c r="F230" s="9" t="s">
        <v>438</v>
      </c>
      <c r="G230" s="9" t="s">
        <v>439</v>
      </c>
      <c r="H230" s="9">
        <v>4.0</v>
      </c>
      <c r="J230" s="9" t="s">
        <v>434</v>
      </c>
      <c r="K230" s="9" t="s">
        <v>435</v>
      </c>
      <c r="L230" s="9" t="s">
        <v>433</v>
      </c>
      <c r="M230" s="9">
        <v>1.0</v>
      </c>
    </row>
    <row r="231" ht="15.75" customHeight="1">
      <c r="D231" s="12"/>
      <c r="E231" s="12"/>
      <c r="F231" s="9" t="s">
        <v>440</v>
      </c>
      <c r="G231" s="9" t="s">
        <v>62</v>
      </c>
      <c r="H231" s="9">
        <v>1.0</v>
      </c>
      <c r="J231" s="9" t="s">
        <v>437</v>
      </c>
      <c r="K231" s="9" t="s">
        <v>438</v>
      </c>
      <c r="L231" s="9" t="s">
        <v>436</v>
      </c>
      <c r="M231" s="9">
        <v>1.0</v>
      </c>
    </row>
    <row r="232" ht="15.75" customHeight="1">
      <c r="D232" s="12"/>
      <c r="E232" s="12"/>
      <c r="F232" s="9" t="s">
        <v>441</v>
      </c>
      <c r="G232" s="9" t="s">
        <v>439</v>
      </c>
      <c r="H232" s="9">
        <v>10.0</v>
      </c>
      <c r="J232" s="12"/>
      <c r="K232" s="9" t="s">
        <v>440</v>
      </c>
      <c r="L232" s="9" t="s">
        <v>439</v>
      </c>
      <c r="M232" s="9">
        <v>4.0</v>
      </c>
    </row>
    <row r="233" ht="15.75" customHeight="1">
      <c r="D233" s="12"/>
      <c r="E233" s="12"/>
      <c r="F233" s="9" t="s">
        <v>442</v>
      </c>
      <c r="G233" s="9" t="s">
        <v>443</v>
      </c>
      <c r="H233" s="9">
        <v>1.0</v>
      </c>
      <c r="J233" s="12"/>
      <c r="K233" s="9" t="s">
        <v>441</v>
      </c>
      <c r="L233" s="9" t="s">
        <v>62</v>
      </c>
      <c r="M233" s="9">
        <v>1.0</v>
      </c>
    </row>
    <row r="234" ht="15.75" customHeight="1">
      <c r="D234" s="12"/>
      <c r="E234" s="9" t="s">
        <v>444</v>
      </c>
      <c r="F234" s="9" t="s">
        <v>445</v>
      </c>
      <c r="G234" s="9" t="s">
        <v>446</v>
      </c>
      <c r="H234" s="9">
        <v>8.0</v>
      </c>
      <c r="J234" s="12"/>
      <c r="K234" s="9" t="s">
        <v>442</v>
      </c>
      <c r="L234" s="9" t="s">
        <v>439</v>
      </c>
      <c r="M234" s="9">
        <v>10.0</v>
      </c>
    </row>
    <row r="235" ht="15.75" customHeight="1">
      <c r="D235" s="12"/>
      <c r="E235" s="9" t="s">
        <v>447</v>
      </c>
      <c r="F235" s="9" t="s">
        <v>448</v>
      </c>
      <c r="G235" s="9" t="s">
        <v>449</v>
      </c>
      <c r="H235" s="9">
        <v>1.0</v>
      </c>
      <c r="J235" s="9" t="s">
        <v>444</v>
      </c>
      <c r="K235" s="9" t="s">
        <v>445</v>
      </c>
      <c r="L235" s="9" t="s">
        <v>443</v>
      </c>
      <c r="M235" s="9">
        <v>1.0</v>
      </c>
    </row>
    <row r="236" ht="15.75" customHeight="1">
      <c r="D236" s="12"/>
      <c r="E236" s="12"/>
      <c r="F236" s="9" t="s">
        <v>450</v>
      </c>
      <c r="G236" s="9" t="s">
        <v>451</v>
      </c>
      <c r="H236" s="9">
        <v>20.0</v>
      </c>
      <c r="J236" s="9" t="s">
        <v>447</v>
      </c>
      <c r="K236" s="9" t="s">
        <v>448</v>
      </c>
      <c r="L236" s="9" t="s">
        <v>446</v>
      </c>
      <c r="M236" s="9">
        <v>8.0</v>
      </c>
    </row>
    <row r="237" ht="15.75" customHeight="1">
      <c r="D237" s="12"/>
      <c r="E237" s="9" t="s">
        <v>452</v>
      </c>
      <c r="F237" s="9" t="s">
        <v>453</v>
      </c>
      <c r="G237" s="9" t="s">
        <v>454</v>
      </c>
      <c r="H237" s="9">
        <v>1.0</v>
      </c>
      <c r="J237" s="12"/>
      <c r="K237" s="9" t="s">
        <v>450</v>
      </c>
      <c r="L237" s="9" t="s">
        <v>449</v>
      </c>
      <c r="M237" s="9">
        <v>1.0</v>
      </c>
    </row>
    <row r="238" ht="15.75" customHeight="1">
      <c r="D238" s="12"/>
      <c r="E238" s="9" t="s">
        <v>455</v>
      </c>
      <c r="F238" s="9" t="s">
        <v>456</v>
      </c>
      <c r="G238" s="9" t="s">
        <v>457</v>
      </c>
      <c r="H238" s="9">
        <v>1.0</v>
      </c>
      <c r="J238" s="9" t="s">
        <v>452</v>
      </c>
      <c r="K238" s="9" t="s">
        <v>453</v>
      </c>
      <c r="L238" s="9" t="s">
        <v>451</v>
      </c>
      <c r="M238" s="9">
        <v>20.0</v>
      </c>
    </row>
    <row r="239" ht="15.75" customHeight="1">
      <c r="D239" s="12"/>
      <c r="E239" s="9" t="s">
        <v>95</v>
      </c>
      <c r="F239" s="9" t="s">
        <v>458</v>
      </c>
      <c r="G239" s="9" t="s">
        <v>459</v>
      </c>
      <c r="H239" s="9">
        <v>1.0</v>
      </c>
      <c r="J239" s="9" t="s">
        <v>455</v>
      </c>
      <c r="K239" s="9" t="s">
        <v>456</v>
      </c>
      <c r="L239" s="9" t="s">
        <v>454</v>
      </c>
      <c r="M239" s="9">
        <v>1.0</v>
      </c>
    </row>
    <row r="240" ht="15.75" customHeight="1">
      <c r="D240" s="12"/>
      <c r="E240" s="12"/>
      <c r="F240" s="9" t="s">
        <v>460</v>
      </c>
      <c r="G240" s="9" t="s">
        <v>461</v>
      </c>
      <c r="H240" s="9">
        <v>8.0</v>
      </c>
      <c r="J240" s="9" t="s">
        <v>95</v>
      </c>
      <c r="K240" s="9" t="s">
        <v>458</v>
      </c>
      <c r="L240" s="9" t="s">
        <v>457</v>
      </c>
      <c r="M240" s="9">
        <v>1.0</v>
      </c>
    </row>
    <row r="241" ht="15.75" customHeight="1">
      <c r="D241" s="12"/>
      <c r="E241" s="12"/>
      <c r="F241" s="9" t="s">
        <v>462</v>
      </c>
      <c r="G241" s="9" t="s">
        <v>62</v>
      </c>
      <c r="H241" s="9">
        <v>1.0</v>
      </c>
      <c r="J241" s="12"/>
      <c r="K241" s="9" t="s">
        <v>460</v>
      </c>
      <c r="L241" s="9" t="s">
        <v>459</v>
      </c>
      <c r="M241" s="9">
        <v>1.0</v>
      </c>
    </row>
    <row r="242" ht="15.75" customHeight="1">
      <c r="D242" s="12"/>
      <c r="E242" s="12"/>
      <c r="F242" s="9" t="s">
        <v>463</v>
      </c>
      <c r="G242" s="9" t="s">
        <v>464</v>
      </c>
      <c r="H242" s="9">
        <v>1.0</v>
      </c>
      <c r="J242" s="12"/>
      <c r="K242" s="9" t="s">
        <v>462</v>
      </c>
      <c r="L242" s="9" t="s">
        <v>461</v>
      </c>
      <c r="M242" s="9">
        <v>8.0</v>
      </c>
    </row>
    <row r="243" ht="15.75" customHeight="1">
      <c r="D243" s="12"/>
      <c r="E243" s="12"/>
      <c r="F243" s="9" t="s">
        <v>465</v>
      </c>
      <c r="G243" s="9" t="s">
        <v>466</v>
      </c>
      <c r="H243" s="9">
        <v>1.0</v>
      </c>
      <c r="J243" s="12"/>
      <c r="K243" s="9" t="s">
        <v>463</v>
      </c>
      <c r="L243" s="9" t="s">
        <v>62</v>
      </c>
      <c r="M243" s="9">
        <v>1.0</v>
      </c>
    </row>
    <row r="244" ht="15.75" customHeight="1">
      <c r="D244" s="12"/>
      <c r="E244" s="12"/>
      <c r="F244" s="9" t="s">
        <v>467</v>
      </c>
      <c r="G244" s="9" t="s">
        <v>468</v>
      </c>
      <c r="H244" s="9">
        <v>3.0</v>
      </c>
      <c r="J244" s="12"/>
      <c r="K244" s="9" t="s">
        <v>465</v>
      </c>
      <c r="L244" s="9" t="s">
        <v>464</v>
      </c>
      <c r="M244" s="9">
        <v>1.0</v>
      </c>
    </row>
    <row r="245" ht="15.75" customHeight="1">
      <c r="D245" s="12"/>
      <c r="E245" s="12"/>
      <c r="F245" s="9" t="s">
        <v>469</v>
      </c>
      <c r="G245" s="9" t="s">
        <v>470</v>
      </c>
      <c r="H245" s="9">
        <v>1.0</v>
      </c>
      <c r="J245" s="12"/>
      <c r="K245" s="9" t="s">
        <v>467</v>
      </c>
      <c r="L245" s="9" t="s">
        <v>466</v>
      </c>
      <c r="M245" s="9">
        <v>1.0</v>
      </c>
    </row>
    <row r="246" ht="15.75" customHeight="1">
      <c r="D246" s="12"/>
      <c r="E246" s="12"/>
      <c r="F246" s="9" t="s">
        <v>471</v>
      </c>
      <c r="G246" s="9" t="s">
        <v>472</v>
      </c>
      <c r="H246" s="9">
        <v>1.0</v>
      </c>
      <c r="J246" s="12"/>
      <c r="K246" s="9" t="s">
        <v>469</v>
      </c>
      <c r="L246" s="9" t="s">
        <v>468</v>
      </c>
      <c r="M246" s="9">
        <v>3.0</v>
      </c>
    </row>
    <row r="247" ht="15.75" customHeight="1">
      <c r="D247" s="12"/>
      <c r="E247" s="12"/>
      <c r="F247" s="9" t="s">
        <v>473</v>
      </c>
      <c r="G247" s="9" t="s">
        <v>474</v>
      </c>
      <c r="H247" s="9">
        <v>5.0</v>
      </c>
      <c r="J247" s="12"/>
      <c r="K247" s="9" t="s">
        <v>471</v>
      </c>
      <c r="L247" s="9" t="s">
        <v>470</v>
      </c>
      <c r="M247" s="9">
        <v>1.0</v>
      </c>
    </row>
    <row r="248" ht="15.75" customHeight="1">
      <c r="D248" s="12"/>
      <c r="E248" s="12"/>
      <c r="F248" s="9" t="s">
        <v>475</v>
      </c>
      <c r="G248" s="9" t="s">
        <v>62</v>
      </c>
      <c r="H248" s="9">
        <v>1.0</v>
      </c>
      <c r="J248" s="12"/>
      <c r="K248" s="9" t="s">
        <v>473</v>
      </c>
      <c r="L248" s="9" t="s">
        <v>472</v>
      </c>
      <c r="M248" s="9">
        <v>1.0</v>
      </c>
    </row>
    <row r="249" ht="15.75" customHeight="1">
      <c r="D249" s="12"/>
      <c r="E249" s="12"/>
      <c r="F249" s="9" t="s">
        <v>476</v>
      </c>
      <c r="G249" s="9" t="s">
        <v>62</v>
      </c>
      <c r="H249" s="9">
        <v>1.0</v>
      </c>
      <c r="J249" s="12"/>
      <c r="K249" s="9" t="s">
        <v>475</v>
      </c>
      <c r="L249" s="9" t="s">
        <v>474</v>
      </c>
      <c r="M249" s="9">
        <v>5.0</v>
      </c>
    </row>
    <row r="250" ht="15.75" customHeight="1">
      <c r="D250" s="12"/>
      <c r="E250" s="9" t="s">
        <v>71</v>
      </c>
      <c r="F250" s="9" t="s">
        <v>477</v>
      </c>
      <c r="G250" s="9" t="s">
        <v>62</v>
      </c>
      <c r="H250" s="9">
        <v>2.0</v>
      </c>
      <c r="J250" s="12"/>
      <c r="K250" s="9" t="s">
        <v>476</v>
      </c>
      <c r="L250" s="9" t="s">
        <v>62</v>
      </c>
      <c r="M250" s="9">
        <v>1.0</v>
      </c>
    </row>
    <row r="251" ht="15.75" customHeight="1">
      <c r="D251" s="12"/>
      <c r="E251" s="9" t="s">
        <v>12</v>
      </c>
      <c r="F251" s="9" t="s">
        <v>478</v>
      </c>
      <c r="G251" s="9" t="s">
        <v>479</v>
      </c>
      <c r="H251" s="9">
        <v>2.0</v>
      </c>
      <c r="J251" s="9" t="s">
        <v>71</v>
      </c>
      <c r="K251" s="9" t="s">
        <v>477</v>
      </c>
      <c r="L251" s="9" t="s">
        <v>62</v>
      </c>
      <c r="M251" s="9">
        <v>1.0</v>
      </c>
    </row>
    <row r="252" ht="15.75" customHeight="1">
      <c r="D252" s="12"/>
      <c r="E252" s="12"/>
      <c r="F252" s="9" t="s">
        <v>480</v>
      </c>
      <c r="G252" s="9" t="s">
        <v>481</v>
      </c>
      <c r="H252" s="9">
        <v>3.0</v>
      </c>
      <c r="J252" s="9" t="s">
        <v>12</v>
      </c>
      <c r="K252" s="9" t="s">
        <v>478</v>
      </c>
      <c r="L252" s="9" t="s">
        <v>62</v>
      </c>
      <c r="M252" s="9">
        <v>2.0</v>
      </c>
    </row>
    <row r="253" ht="15.75" customHeight="1">
      <c r="D253" s="12"/>
      <c r="E253" s="12"/>
      <c r="F253" s="9" t="s">
        <v>482</v>
      </c>
      <c r="G253" s="9" t="s">
        <v>62</v>
      </c>
      <c r="H253" s="9">
        <v>3.0</v>
      </c>
      <c r="J253" s="12"/>
      <c r="K253" s="9" t="s">
        <v>480</v>
      </c>
      <c r="L253" s="9" t="s">
        <v>479</v>
      </c>
      <c r="M253" s="9">
        <v>2.0</v>
      </c>
    </row>
    <row r="254" ht="15.75" customHeight="1">
      <c r="D254" s="12"/>
      <c r="E254" s="12"/>
      <c r="F254" s="9" t="s">
        <v>483</v>
      </c>
      <c r="G254" s="9" t="s">
        <v>484</v>
      </c>
      <c r="H254" s="9">
        <v>2.0</v>
      </c>
      <c r="J254" s="12"/>
      <c r="K254" s="9" t="s">
        <v>482</v>
      </c>
      <c r="L254" s="9" t="s">
        <v>481</v>
      </c>
      <c r="M254" s="9">
        <v>3.0</v>
      </c>
    </row>
    <row r="255" ht="15.75" customHeight="1">
      <c r="D255" s="12"/>
      <c r="E255" s="12"/>
      <c r="F255" s="9" t="s">
        <v>485</v>
      </c>
      <c r="G255" s="9" t="s">
        <v>486</v>
      </c>
      <c r="H255" s="9">
        <v>3.0</v>
      </c>
      <c r="J255" s="12"/>
      <c r="K255" s="9" t="s">
        <v>483</v>
      </c>
      <c r="L255" s="9" t="s">
        <v>62</v>
      </c>
      <c r="M255" s="9">
        <v>3.0</v>
      </c>
    </row>
    <row r="256" ht="15.75" customHeight="1">
      <c r="D256" s="12"/>
      <c r="E256" s="9" t="s">
        <v>487</v>
      </c>
      <c r="F256" s="9" t="s">
        <v>488</v>
      </c>
      <c r="G256" s="9" t="s">
        <v>489</v>
      </c>
      <c r="H256" s="9">
        <v>8.0</v>
      </c>
      <c r="J256" s="12"/>
      <c r="K256" s="9" t="s">
        <v>485</v>
      </c>
      <c r="L256" s="9" t="s">
        <v>484</v>
      </c>
      <c r="M256" s="9">
        <v>2.0</v>
      </c>
    </row>
    <row r="257" ht="15.75" customHeight="1">
      <c r="D257" s="12"/>
      <c r="E257" s="12"/>
      <c r="F257" s="9" t="s">
        <v>490</v>
      </c>
      <c r="G257" s="9" t="s">
        <v>489</v>
      </c>
      <c r="H257" s="9">
        <v>28.0</v>
      </c>
      <c r="J257" s="9" t="s">
        <v>487</v>
      </c>
      <c r="K257" s="9" t="s">
        <v>488</v>
      </c>
      <c r="L257" s="9" t="s">
        <v>486</v>
      </c>
      <c r="M257" s="9">
        <v>3.0</v>
      </c>
    </row>
    <row r="258" ht="15.75" customHeight="1">
      <c r="D258" s="12"/>
      <c r="E258" s="12"/>
      <c r="F258" s="9" t="s">
        <v>491</v>
      </c>
      <c r="G258" s="9" t="s">
        <v>492</v>
      </c>
      <c r="H258" s="9">
        <v>3.0</v>
      </c>
      <c r="J258" s="12"/>
      <c r="K258" s="9" t="s">
        <v>490</v>
      </c>
      <c r="L258" s="9" t="s">
        <v>489</v>
      </c>
      <c r="M258" s="9">
        <v>8.0</v>
      </c>
    </row>
    <row r="259" ht="15.75" customHeight="1">
      <c r="D259" s="12"/>
      <c r="E259" s="12"/>
      <c r="F259" s="9" t="s">
        <v>493</v>
      </c>
      <c r="G259" s="9" t="s">
        <v>62</v>
      </c>
      <c r="H259" s="9">
        <v>2.0</v>
      </c>
      <c r="J259" s="12"/>
      <c r="K259" s="9" t="s">
        <v>491</v>
      </c>
      <c r="L259" s="9" t="s">
        <v>489</v>
      </c>
      <c r="M259" s="9">
        <v>28.0</v>
      </c>
    </row>
    <row r="260" ht="15.75" customHeight="1">
      <c r="D260" s="12"/>
      <c r="E260" s="12"/>
      <c r="F260" s="9" t="s">
        <v>494</v>
      </c>
      <c r="G260" s="9" t="s">
        <v>495</v>
      </c>
      <c r="H260" s="9">
        <v>8.0</v>
      </c>
      <c r="J260" s="12"/>
      <c r="K260" s="9" t="s">
        <v>493</v>
      </c>
      <c r="L260" s="9" t="s">
        <v>492</v>
      </c>
      <c r="M260" s="9">
        <v>3.0</v>
      </c>
    </row>
    <row r="261" ht="15.75" customHeight="1">
      <c r="D261" s="12"/>
      <c r="E261" s="12"/>
      <c r="F261" s="9" t="s">
        <v>496</v>
      </c>
      <c r="G261" s="9" t="s">
        <v>497</v>
      </c>
      <c r="H261" s="9">
        <v>1.0</v>
      </c>
      <c r="J261" s="12"/>
      <c r="K261" s="9" t="s">
        <v>494</v>
      </c>
      <c r="L261" s="9" t="s">
        <v>62</v>
      </c>
      <c r="M261" s="9">
        <v>2.0</v>
      </c>
    </row>
    <row r="262" ht="15.75" customHeight="1">
      <c r="D262" s="12"/>
      <c r="E262" s="12"/>
      <c r="F262" s="9" t="s">
        <v>498</v>
      </c>
      <c r="G262" s="9" t="s">
        <v>62</v>
      </c>
      <c r="H262" s="9">
        <v>2.0</v>
      </c>
      <c r="J262" s="12"/>
      <c r="K262" s="9" t="s">
        <v>496</v>
      </c>
      <c r="L262" s="9" t="s">
        <v>495</v>
      </c>
      <c r="M262" s="9">
        <v>8.0</v>
      </c>
    </row>
    <row r="263" ht="15.75" customHeight="1">
      <c r="D263" s="12"/>
      <c r="E263" s="12"/>
      <c r="F263" s="9" t="s">
        <v>499</v>
      </c>
      <c r="G263" s="9" t="s">
        <v>500</v>
      </c>
      <c r="H263" s="9">
        <v>10.0</v>
      </c>
      <c r="J263" s="12"/>
      <c r="K263" s="9" t="s">
        <v>498</v>
      </c>
      <c r="L263" s="9" t="s">
        <v>497</v>
      </c>
      <c r="M263" s="9">
        <v>1.0</v>
      </c>
    </row>
    <row r="264" ht="15.75" customHeight="1">
      <c r="D264" s="12"/>
      <c r="E264" s="12"/>
      <c r="F264" s="9" t="s">
        <v>501</v>
      </c>
      <c r="G264" s="9" t="s">
        <v>502</v>
      </c>
      <c r="H264" s="9">
        <v>1.0</v>
      </c>
      <c r="J264" s="12"/>
      <c r="K264" s="9" t="s">
        <v>499</v>
      </c>
      <c r="L264" s="9" t="s">
        <v>62</v>
      </c>
      <c r="M264" s="9">
        <v>2.0</v>
      </c>
    </row>
    <row r="265" ht="15.75" customHeight="1">
      <c r="D265" s="12"/>
      <c r="E265" s="12"/>
      <c r="F265" s="9" t="s">
        <v>503</v>
      </c>
      <c r="G265" s="9" t="s">
        <v>504</v>
      </c>
      <c r="H265" s="9">
        <v>1.0</v>
      </c>
      <c r="J265" s="12"/>
      <c r="K265" s="9" t="s">
        <v>501</v>
      </c>
      <c r="L265" s="9" t="s">
        <v>500</v>
      </c>
      <c r="M265" s="9">
        <v>10.0</v>
      </c>
    </row>
    <row r="266" ht="15.75" customHeight="1">
      <c r="D266" s="12"/>
      <c r="E266" s="9" t="s">
        <v>505</v>
      </c>
      <c r="F266" s="9" t="s">
        <v>506</v>
      </c>
      <c r="G266" s="9" t="s">
        <v>507</v>
      </c>
      <c r="H266" s="9">
        <v>1.0</v>
      </c>
      <c r="J266" s="12"/>
      <c r="K266" s="9" t="s">
        <v>503</v>
      </c>
      <c r="L266" s="9" t="s">
        <v>502</v>
      </c>
      <c r="M266" s="9">
        <v>1.0</v>
      </c>
    </row>
    <row r="267" ht="15.75" customHeight="1">
      <c r="D267" s="12"/>
      <c r="E267" s="9" t="s">
        <v>508</v>
      </c>
      <c r="F267" s="9" t="s">
        <v>509</v>
      </c>
      <c r="G267" s="9" t="s">
        <v>510</v>
      </c>
      <c r="H267" s="9">
        <v>2.0</v>
      </c>
      <c r="J267" s="9" t="s">
        <v>505</v>
      </c>
      <c r="K267" s="9" t="s">
        <v>506</v>
      </c>
      <c r="L267" s="9" t="s">
        <v>504</v>
      </c>
      <c r="M267" s="9">
        <v>1.0</v>
      </c>
    </row>
    <row r="268" ht="15.75" customHeight="1">
      <c r="D268" s="12"/>
      <c r="E268" s="9" t="s">
        <v>37</v>
      </c>
      <c r="F268" s="9" t="s">
        <v>511</v>
      </c>
      <c r="G268" s="9" t="s">
        <v>512</v>
      </c>
      <c r="H268" s="9">
        <v>3.0</v>
      </c>
      <c r="J268" s="9" t="s">
        <v>508</v>
      </c>
      <c r="K268" s="9" t="s">
        <v>509</v>
      </c>
      <c r="L268" s="9" t="s">
        <v>507</v>
      </c>
      <c r="M268" s="9">
        <v>1.0</v>
      </c>
    </row>
    <row r="269" ht="15.75" customHeight="1">
      <c r="D269" s="12"/>
      <c r="E269" s="12"/>
      <c r="F269" s="9" t="s">
        <v>513</v>
      </c>
      <c r="G269" s="9" t="s">
        <v>514</v>
      </c>
      <c r="H269" s="9">
        <v>3.0</v>
      </c>
      <c r="J269" s="9" t="s">
        <v>37</v>
      </c>
      <c r="K269" s="9" t="s">
        <v>511</v>
      </c>
      <c r="L269" s="9" t="s">
        <v>510</v>
      </c>
      <c r="M269" s="9">
        <v>2.0</v>
      </c>
    </row>
    <row r="270" ht="15.75" customHeight="1">
      <c r="D270" s="12"/>
      <c r="E270" s="12"/>
      <c r="F270" s="9" t="s">
        <v>515</v>
      </c>
      <c r="G270" s="9" t="s">
        <v>516</v>
      </c>
      <c r="H270" s="9">
        <v>1.0</v>
      </c>
      <c r="J270" s="12"/>
      <c r="K270" s="9" t="s">
        <v>513</v>
      </c>
      <c r="L270" s="9" t="s">
        <v>512</v>
      </c>
      <c r="M270" s="9">
        <v>3.0</v>
      </c>
    </row>
    <row r="271" ht="15.75" customHeight="1">
      <c r="D271" s="12"/>
      <c r="E271" s="12"/>
      <c r="F271" s="9" t="s">
        <v>517</v>
      </c>
      <c r="G271" s="9" t="s">
        <v>518</v>
      </c>
      <c r="H271" s="9">
        <v>1.0</v>
      </c>
      <c r="J271" s="12"/>
      <c r="K271" s="9" t="s">
        <v>515</v>
      </c>
      <c r="L271" s="9" t="s">
        <v>514</v>
      </c>
      <c r="M271" s="9">
        <v>3.0</v>
      </c>
    </row>
    <row r="272" ht="15.75" customHeight="1">
      <c r="D272" s="12"/>
      <c r="E272" s="12"/>
      <c r="F272" s="9" t="s">
        <v>519</v>
      </c>
      <c r="G272" s="9" t="s">
        <v>520</v>
      </c>
      <c r="H272" s="9">
        <v>9.0</v>
      </c>
      <c r="J272" s="12"/>
      <c r="K272" s="9" t="s">
        <v>517</v>
      </c>
      <c r="L272" s="9" t="s">
        <v>516</v>
      </c>
      <c r="M272" s="9">
        <v>1.0</v>
      </c>
    </row>
    <row r="273" ht="15.75" customHeight="1">
      <c r="D273" s="12"/>
      <c r="E273" s="12"/>
      <c r="F273" s="9" t="s">
        <v>521</v>
      </c>
      <c r="G273" s="9" t="s">
        <v>522</v>
      </c>
      <c r="H273" s="9">
        <v>1.0</v>
      </c>
      <c r="J273" s="12"/>
      <c r="K273" s="9" t="s">
        <v>519</v>
      </c>
      <c r="L273" s="9" t="s">
        <v>518</v>
      </c>
      <c r="M273" s="9">
        <v>1.0</v>
      </c>
    </row>
    <row r="274" ht="15.75" customHeight="1">
      <c r="D274" s="12"/>
      <c r="E274" s="9" t="s">
        <v>523</v>
      </c>
      <c r="F274" s="9" t="s">
        <v>524</v>
      </c>
      <c r="G274" s="9" t="s">
        <v>525</v>
      </c>
      <c r="H274" s="9">
        <v>1.0</v>
      </c>
      <c r="J274" s="12"/>
      <c r="K274" s="9" t="s">
        <v>521</v>
      </c>
      <c r="L274" s="9" t="s">
        <v>520</v>
      </c>
      <c r="M274" s="9">
        <v>9.0</v>
      </c>
    </row>
    <row r="275" ht="15.75" customHeight="1">
      <c r="D275" s="12"/>
      <c r="E275" s="9" t="s">
        <v>526</v>
      </c>
      <c r="F275" s="9" t="s">
        <v>527</v>
      </c>
      <c r="G275" s="9" t="s">
        <v>528</v>
      </c>
      <c r="H275" s="9">
        <v>9.0</v>
      </c>
      <c r="J275" s="9" t="s">
        <v>523</v>
      </c>
      <c r="K275" s="9" t="s">
        <v>524</v>
      </c>
      <c r="L275" s="9" t="s">
        <v>522</v>
      </c>
      <c r="M275" s="9">
        <v>1.0</v>
      </c>
    </row>
    <row r="276" ht="15.75" customHeight="1">
      <c r="D276" s="12"/>
      <c r="E276" s="9" t="s">
        <v>529</v>
      </c>
      <c r="F276" s="9" t="s">
        <v>530</v>
      </c>
      <c r="G276" s="9" t="s">
        <v>531</v>
      </c>
      <c r="H276" s="9">
        <v>24.0</v>
      </c>
      <c r="J276" s="9" t="s">
        <v>526</v>
      </c>
      <c r="K276" s="9" t="s">
        <v>527</v>
      </c>
      <c r="L276" s="9" t="s">
        <v>525</v>
      </c>
      <c r="M276" s="9">
        <v>1.0</v>
      </c>
    </row>
    <row r="277" ht="15.75" customHeight="1">
      <c r="D277" s="12"/>
      <c r="E277" s="12"/>
      <c r="F277" s="9" t="s">
        <v>532</v>
      </c>
      <c r="G277" s="9" t="s">
        <v>62</v>
      </c>
      <c r="H277" s="9">
        <v>2.0</v>
      </c>
      <c r="J277" s="9" t="s">
        <v>529</v>
      </c>
      <c r="K277" s="9" t="s">
        <v>530</v>
      </c>
      <c r="L277" s="9" t="s">
        <v>528</v>
      </c>
      <c r="M277" s="9">
        <v>9.0</v>
      </c>
    </row>
    <row r="278" ht="15.75" customHeight="1">
      <c r="D278" s="12"/>
      <c r="E278" s="12"/>
      <c r="F278" s="9" t="s">
        <v>533</v>
      </c>
      <c r="G278" s="9" t="s">
        <v>534</v>
      </c>
      <c r="H278" s="9">
        <v>1.0</v>
      </c>
      <c r="J278" s="12"/>
      <c r="K278" s="9" t="s">
        <v>532</v>
      </c>
      <c r="L278" s="9" t="s">
        <v>531</v>
      </c>
      <c r="M278" s="9">
        <v>24.0</v>
      </c>
    </row>
    <row r="279" ht="15.75" customHeight="1">
      <c r="D279" s="12"/>
      <c r="E279" s="9" t="s">
        <v>535</v>
      </c>
      <c r="F279" s="9" t="s">
        <v>536</v>
      </c>
      <c r="G279" s="9" t="s">
        <v>537</v>
      </c>
      <c r="H279" s="9">
        <v>2.0</v>
      </c>
      <c r="J279" s="12"/>
      <c r="K279" s="9" t="s">
        <v>533</v>
      </c>
      <c r="L279" s="9" t="s">
        <v>62</v>
      </c>
      <c r="M279" s="9">
        <v>2.0</v>
      </c>
    </row>
    <row r="280" ht="15.75" customHeight="1">
      <c r="D280" s="12"/>
      <c r="E280" s="12"/>
      <c r="F280" s="9" t="s">
        <v>538</v>
      </c>
      <c r="G280" s="9" t="s">
        <v>62</v>
      </c>
      <c r="H280" s="9">
        <v>4.0</v>
      </c>
      <c r="J280" s="9" t="s">
        <v>535</v>
      </c>
      <c r="K280" s="9" t="s">
        <v>536</v>
      </c>
      <c r="L280" s="9" t="s">
        <v>534</v>
      </c>
      <c r="M280" s="9">
        <v>1.0</v>
      </c>
    </row>
    <row r="281" ht="15.75" customHeight="1">
      <c r="D281" s="12"/>
      <c r="E281" s="12"/>
      <c r="F281" s="9" t="s">
        <v>539</v>
      </c>
      <c r="G281" s="9" t="s">
        <v>393</v>
      </c>
      <c r="H281" s="9">
        <v>2.0</v>
      </c>
      <c r="J281" s="12"/>
      <c r="K281" s="9" t="s">
        <v>538</v>
      </c>
      <c r="L281" s="9" t="s">
        <v>537</v>
      </c>
      <c r="M281" s="9">
        <v>2.0</v>
      </c>
    </row>
    <row r="282" ht="15.75" customHeight="1">
      <c r="D282" s="12"/>
      <c r="E282" s="12"/>
      <c r="F282" s="9" t="s">
        <v>540</v>
      </c>
      <c r="G282" s="9" t="s">
        <v>541</v>
      </c>
      <c r="H282" s="9">
        <v>4.0</v>
      </c>
      <c r="J282" s="12"/>
      <c r="K282" s="9" t="s">
        <v>539</v>
      </c>
      <c r="L282" s="9" t="s">
        <v>62</v>
      </c>
      <c r="M282" s="9">
        <v>4.0</v>
      </c>
    </row>
    <row r="283" ht="15.75" customHeight="1">
      <c r="D283" s="12"/>
      <c r="E283" s="9" t="s">
        <v>542</v>
      </c>
      <c r="F283" s="9" t="s">
        <v>543</v>
      </c>
      <c r="G283" s="9" t="s">
        <v>62</v>
      </c>
      <c r="H283" s="9">
        <v>1.0</v>
      </c>
      <c r="J283" s="12"/>
      <c r="K283" s="9" t="s">
        <v>540</v>
      </c>
      <c r="L283" s="9" t="s">
        <v>393</v>
      </c>
      <c r="M283" s="9">
        <v>2.0</v>
      </c>
    </row>
    <row r="284" ht="15.75" customHeight="1">
      <c r="D284" s="12"/>
      <c r="E284" s="9" t="s">
        <v>544</v>
      </c>
      <c r="F284" s="9" t="s">
        <v>545</v>
      </c>
      <c r="G284" s="9" t="s">
        <v>62</v>
      </c>
      <c r="H284" s="9">
        <v>1.0</v>
      </c>
      <c r="J284" s="9" t="s">
        <v>542</v>
      </c>
      <c r="K284" s="9" t="s">
        <v>543</v>
      </c>
      <c r="L284" s="9" t="s">
        <v>541</v>
      </c>
      <c r="M284" s="9">
        <v>4.0</v>
      </c>
    </row>
    <row r="285" ht="15.75" customHeight="1">
      <c r="D285" s="9" t="s">
        <v>546</v>
      </c>
      <c r="E285" s="14"/>
      <c r="F285" s="14"/>
      <c r="G285" s="14"/>
      <c r="H285" s="9">
        <v>857.0</v>
      </c>
      <c r="J285" s="9" t="s">
        <v>544</v>
      </c>
      <c r="K285" s="9" t="s">
        <v>545</v>
      </c>
      <c r="L285" s="9" t="s">
        <v>62</v>
      </c>
      <c r="M285" s="9">
        <v>1.0</v>
      </c>
    </row>
    <row r="286" ht="15.75" customHeight="1">
      <c r="J286" s="14"/>
      <c r="K286" s="14"/>
      <c r="L286" s="9" t="s">
        <v>62</v>
      </c>
      <c r="M286" s="9">
        <v>1.0</v>
      </c>
    </row>
    <row r="287" ht="15.75" customHeight="1">
      <c r="L287" s="14"/>
      <c r="M287" s="9">
        <v>857.0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21:J2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4" ht="15.0" customHeight="1">
      <c r="F4" s="16">
        <v>486.0</v>
      </c>
    </row>
    <row r="5" ht="15.0" customHeight="1">
      <c r="F5" s="16">
        <v>981.0</v>
      </c>
    </row>
    <row r="6" ht="15.0" customHeight="1">
      <c r="F6" s="16">
        <v>391.0</v>
      </c>
      <c r="H6" s="16">
        <v>1540.0</v>
      </c>
      <c r="J6" s="17">
        <v>16.0</v>
      </c>
      <c r="L6" s="17">
        <v>66.0</v>
      </c>
    </row>
    <row r="7" ht="15.0" customHeight="1">
      <c r="F7" s="16">
        <v>256.0</v>
      </c>
      <c r="H7" s="16">
        <v>575.0</v>
      </c>
      <c r="J7" s="17">
        <v>20.0</v>
      </c>
      <c r="L7" s="17">
        <v>67.0</v>
      </c>
    </row>
    <row r="8" ht="15.0" customHeight="1">
      <c r="F8" s="16">
        <v>692.0</v>
      </c>
      <c r="H8" s="16">
        <v>200.0</v>
      </c>
      <c r="J8" s="17">
        <v>228.0</v>
      </c>
      <c r="L8" s="17">
        <v>22.0</v>
      </c>
    </row>
    <row r="9" ht="15.0" customHeight="1">
      <c r="F9" s="16">
        <v>194.0</v>
      </c>
      <c r="H9" s="16">
        <v>759.0</v>
      </c>
      <c r="J9" s="17">
        <v>6.0</v>
      </c>
      <c r="L9" s="17">
        <v>18.0</v>
      </c>
    </row>
    <row r="10" ht="15.0" customHeight="1">
      <c r="F10" s="16">
        <v>419.0</v>
      </c>
      <c r="H10" s="16">
        <v>472.0</v>
      </c>
      <c r="J10" s="17">
        <v>1.0</v>
      </c>
      <c r="L10" s="16">
        <f>SUM(L6:L9)</f>
        <v>173</v>
      </c>
    </row>
    <row r="11" ht="15.0" customHeight="1">
      <c r="F11" s="16">
        <v>726.0</v>
      </c>
      <c r="H11" s="16">
        <f>SUM(H6:H10)</f>
        <v>3546</v>
      </c>
      <c r="J11" s="16">
        <f>SUM(J6:J10)</f>
        <v>271</v>
      </c>
    </row>
    <row r="12" ht="15.0" customHeight="1">
      <c r="F12" s="16">
        <v>668.0</v>
      </c>
    </row>
    <row r="13" ht="15.0" customHeight="1">
      <c r="F13" s="16">
        <f>SUM(F4:F12)</f>
        <v>4813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2025-01-27T19:37:34Z</dcterms:created>
  <dc:creator>Monica Andrea Florez Pulido</dc:creator>
</cp:coreProperties>
</file>